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e2a9d6e20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0495bdaf024b75"/>
    <x:sheet xmlns:r="http://schemas.openxmlformats.org/officeDocument/2006/relationships" name="PARAMETERS" sheetId="2" r:id="R88416510e31d406b"/>
    <x:sheet xmlns:r="http://schemas.openxmlformats.org/officeDocument/2006/relationships" name="TARGETS" sheetId="3" r:id="R796d04d54bed4c6d"/>
    <x:sheet xmlns:r="http://schemas.openxmlformats.org/officeDocument/2006/relationships" name="FJA_MAPPING" sheetId="4" r:id="R2486e965f8954676"/>
    <x:sheet xmlns:r="http://schemas.openxmlformats.org/officeDocument/2006/relationships" name="DIM_DEPARTMENT" sheetId="5" r:id="Rb0d5412ad5084570"/>
    <x:sheet xmlns:r="http://schemas.openxmlformats.org/officeDocument/2006/relationships" name="DIM_EMPLOYEE" sheetId="6" r:id="R02d0a010225042b2"/>
    <x:sheet xmlns:r="http://schemas.openxmlformats.org/officeDocument/2006/relationships" name="REVENUE_YR" sheetId="7" r:id="R0b7411a97c114c44"/>
    <x:sheet xmlns:r="http://schemas.openxmlformats.org/officeDocument/2006/relationships" name="REVENUE_BY_DEPT" sheetId="8" r:id="Rdfd9205095654e72"/>
    <x:sheet xmlns:r="http://schemas.openxmlformats.org/officeDocument/2006/relationships" name="HEADCOUNT_YR" sheetId="9" r:id="Raf1ebe1291f64025"/>
    <x:sheet xmlns:r="http://schemas.openxmlformats.org/officeDocument/2006/relationships" name="PAYROLL_YR" sheetId="10" r:id="R32535d76827640fc"/>
    <x:sheet xmlns:r="http://schemas.openxmlformats.org/officeDocument/2006/relationships" name="HC_MOVEMENT" sheetId="11" r:id="R46b2a00874814688"/>
    <x:sheet xmlns:r="http://schemas.openxmlformats.org/officeDocument/2006/relationships" name="PROJECT_MARGIN" sheetId="12" r:id="Rb4fd112cce074244"/>
    <x:sheet xmlns:r="http://schemas.openxmlformats.org/officeDocument/2006/relationships" name="CAPACITY_INDICATOR" sheetId="13" r:id="R7606567942e949c9"/>
    <x:sheet xmlns:r="http://schemas.openxmlformats.org/officeDocument/2006/relationships" name="EXEC_SUMMARY" sheetId="14" r:id="R1a5310117bd5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#,##0"/>
    <x:numFmt numFmtId="203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  <x:xf numFmtId="202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xfId="0" applyNumberFormat="1" applyFont="1" applyFill="1" applyBorder="0" applyAlignment="1">
      <x:alignment horizontal="center" vertical="center" wrapText="1"/>
    </x:xf>
    <x:xf numFmtId="202" fontId="2" fillId="3" xfId="0" applyNumberFormat="1" applyFont="1" applyFill="1" applyBorder="0" applyAlignment="1">
      <x:alignment horizontal="center" vertical="center" wrapText="1"/>
    </x:xf>
    <x:xf numFmtId="200" fontId="2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EF3C7"/>
        </x:patternFill>
      </x:fill>
    </x:dxf>
    <x:dxf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223eda77a4bc1" /><Relationship Type="http://schemas.openxmlformats.org/officeDocument/2006/relationships/theme" Target="/xl/theme/theme1.xml" Id="Re0a16598f99e4f85" /><Relationship Type="http://schemas.openxmlformats.org/officeDocument/2006/relationships/sharedStrings" Target="/xl/sharedStrings.xml" Id="Rf64bc4562c964aa9" /><Relationship Type="http://schemas.openxmlformats.org/officeDocument/2006/relationships/worksheet" Target="/xl/worksheets/sheet1.xml" Id="R1d0495bdaf024b75" /><Relationship Type="http://schemas.openxmlformats.org/officeDocument/2006/relationships/worksheet" Target="/xl/worksheets/sheet2.xml" Id="R88416510e31d406b" /><Relationship Type="http://schemas.openxmlformats.org/officeDocument/2006/relationships/worksheet" Target="/xl/worksheets/sheet3.xml" Id="R796d04d54bed4c6d" /><Relationship Type="http://schemas.openxmlformats.org/officeDocument/2006/relationships/worksheet" Target="/xl/worksheets/sheet4.xml" Id="R2486e965f8954676" /><Relationship Type="http://schemas.openxmlformats.org/officeDocument/2006/relationships/worksheet" Target="/xl/worksheets/sheet5.xml" Id="Rb0d5412ad5084570" /><Relationship Type="http://schemas.openxmlformats.org/officeDocument/2006/relationships/worksheet" Target="/xl/worksheets/sheet6.xml" Id="R02d0a010225042b2" /><Relationship Type="http://schemas.openxmlformats.org/officeDocument/2006/relationships/worksheet" Target="/xl/worksheets/sheet7.xml" Id="R0b7411a97c114c44" /><Relationship Type="http://schemas.openxmlformats.org/officeDocument/2006/relationships/worksheet" Target="/xl/worksheets/sheet8.xml" Id="Rdfd9205095654e72" /><Relationship Type="http://schemas.openxmlformats.org/officeDocument/2006/relationships/worksheet" Target="/xl/worksheets/sheet9.xml" Id="Raf1ebe1291f64025" /><Relationship Type="http://schemas.openxmlformats.org/officeDocument/2006/relationships/worksheet" Target="/xl/worksheets/sheet10.xml" Id="R32535d76827640fc" /><Relationship Type="http://schemas.openxmlformats.org/officeDocument/2006/relationships/worksheet" Target="/xl/worksheets/sheet11.xml" Id="R46b2a00874814688" /><Relationship Type="http://schemas.openxmlformats.org/officeDocument/2006/relationships/worksheet" Target="/xl/worksheets/sheet12.xml" Id="Rb4fd112cce074244" /><Relationship Type="http://schemas.openxmlformats.org/officeDocument/2006/relationships/worksheet" Target="/xl/worksheets/sheet13.xml" Id="R7606567942e949c9" /><Relationship Type="http://schemas.openxmlformats.org/officeDocument/2006/relationships/worksheet" Target="/xl/worksheets/sheet14.xml" Id="R1a5310117bd54cbd" /></Relationships>
</file>

<file path=xl/tables/table1.xml><?xml version="1.0" encoding="utf-8"?>
<x:table xmlns:x="http://schemas.openxmlformats.org/spreadsheetml/2006/main" id="1" name="TargetsTable" displayName="TargetsTable" ref="A1:E15" headerRowCount="1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 headerRowCount="1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 headerRowCount="1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 headerRowCount="1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 headerRowCount="1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12" name="RevenueYearTable2026" displayName="RevenueYearTable2026" ref="A1:G7" headerRowCount="1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6" name="RevenueByDeptTable" displayName="RevenueByDeptTable" ref="A1:F16" headerRowCount="1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13" name="RevenueByDeptTable2026" displayName="RevenueByDeptTable2026" ref="A1:F19" headerRowCount="1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7" name="HeadcountYearTable" displayName="HeadcountYearTable" ref="A1:G30" headerRowCount="1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4" name="HeadcountYearTable2026" displayName="HeadcountYearTable2026" ref="A1:G36" headerRowCount="1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11.xml><?xml version="1.0" encoding="utf-8"?>
<x:table xmlns:x="http://schemas.openxmlformats.org/spreadsheetml/2006/main" id="8" name="PayrollYearTable" displayName="PayrollYearTable" ref="A1:J31" headerRowCount="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5" name="PayrollYearTable2026" displayName="PayrollYearTable2026" ref="A1:J37" headerRowCount="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13.xml><?xml version="1.0" encoding="utf-8"?>
<x:table xmlns:x="http://schemas.openxmlformats.org/spreadsheetml/2006/main" id="9" name="HCMovementTable" displayName="HCMovementTable" ref="A1:G31" headerRowCount="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4.xml><?xml version="1.0" encoding="utf-8"?>
<x:table xmlns:x="http://schemas.openxmlformats.org/spreadsheetml/2006/main" id="16" name="HCMovementTable2026" displayName="HCMovementTable2026" ref="A1:G37" headerRowCount="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5.xml><?xml version="1.0" encoding="utf-8"?>
<x:table xmlns:x="http://schemas.openxmlformats.org/spreadsheetml/2006/main" id="10" name="ProjectMarginTable" displayName="ProjectMarginTable" ref="A1:J4" headerRowCount="1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6.xml><?xml version="1.0" encoding="utf-8"?>
<x:table xmlns:x="http://schemas.openxmlformats.org/spreadsheetml/2006/main" id="17" name="ProjectMarginTable2026" displayName="ProjectMarginTable2026" ref="A1:J7" headerRowCount="1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7.xml><?xml version="1.0" encoding="utf-8"?>
<x:table xmlns:x="http://schemas.openxmlformats.org/spreadsheetml/2006/main" id="11" name="CapacityIndicatorTable" displayName="CapacityIndicatorTable" ref="A1:J21" headerRowCount="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CapacityIndicatorTable2026" displayName="CapacityIndicatorTable2026" ref="A1:J25" headerRowCount="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625c944a7ab49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6af9b379bd642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ef1d8ff60604b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01b1fa6bd054c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b80d10b7a3a4c46" /><Relationship Type="http://schemas.openxmlformats.org/officeDocument/2006/relationships/table" Target="/xl/tables/table6.xml" Id="Re2405bb93f67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8344550edd4646" /><Relationship Type="http://schemas.openxmlformats.org/officeDocument/2006/relationships/table" Target="/xl/tables/table8.xml" Id="R71d5c01898c441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021ad114b944e6" /><Relationship Type="http://schemas.openxmlformats.org/officeDocument/2006/relationships/table" Target="/xl/tables/table10.xml" Id="R7d7878551bed45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5fbbcaf9dc1d4a2a" /><Relationship Type="http://schemas.openxmlformats.org/officeDocument/2006/relationships/table" Target="/xl/tables/table12.xml" Id="R900fd0ca717940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ae7052e2ef2340e1" /><Relationship Type="http://schemas.openxmlformats.org/officeDocument/2006/relationships/table" Target="/xl/tables/table14.xml" Id="R1533ccd4c7b743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b422381bfca8406d" /><Relationship Type="http://schemas.openxmlformats.org/officeDocument/2006/relationships/table" Target="/xl/tables/table16.xml" Id="R07c4d913f61d4e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7.xml" Id="Rf0c7f9e064644e92" /><Relationship Type="http://schemas.openxmlformats.org/officeDocument/2006/relationships/table" Target="/xl/tables/table18.xml" Id="Rd31be310f1374d54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8" customHeight="1">
      <x:c r="A1" s="3" t="str">
        <x:v>HR vs Revenue Intelligence Platform v2 (Board &amp; CFO Edition)</x:v>
      </x:c>
    </x:row>
    <x:row r="3">
      <x:c r="A3" s="6" t="str">
        <x:v>Tujuan template:</x:v>
      </x:c>
    </x:row>
    <x:row r="4">
      <x:c r="A4" s="6" t="str">
        <x:v>1. Menjadi data model Excel untuk dashboard Streamlit HR vs Revenue Intelligence Platform v2.</x:v>
      </x:c>
    </x:row>
    <x:row r="5">
      <x:c r="A5" s="6" t="str">
        <x:v>2. Menggabungkan analisis Revenue, Headcount, Payroll, Gross Margin, FJA, Capacity Risk, dan Board Decision Center.</x:v>
      </x:c>
    </x:row>
    <x:row r="6">
      <x:c r="A6" s="6" t="str">
        <x:v>3. Data dapat diisi manual dari finance/HR/project control tanpa mengubah aplikasi Python.</x:v>
      </x:c>
    </x:row>
    <x:row r="7">
      <x:c r="A7" s="6" t="str"/>
    </x:row>
    <x:row r="8">
      <x:c r="A8" s="6" t="str">
        <x:v>Alur pengisian:</x:v>
      </x:c>
    </x:row>
    <x:row r="9">
      <x:c r="A9" s="6" t="str">
        <x:v>1. Isi PARAMETERS dan TARGETS.</x:v>
      </x:c>
    </x:row>
    <x:row r="10">
      <x:c r="A10" s="6" t="str">
        <x:v>2. Isi DIM_DEPARTMENT dan FJA_MAPPING.</x:v>
      </x:c>
    </x:row>
    <x:row r="11">
      <x:c r="A11" s="6" t="str">
        <x:v>3. Isi transaksi/tahunan: REVENUE_YR, REVENUE_BY_DEPT, HEADCOUNT_YR, PAYROLL_YR.</x:v>
      </x:c>
    </x:row>
    <x:row r="12">
      <x:c r="A12" s="6" t="str">
        <x:v>4. Opsional: DIM_EMPLOYEE, HC_MOVEMENT, PROJECT_MARGIN, CAPACITY_INDICATOR.</x:v>
      </x:c>
    </x:row>
    <x:row r="13">
      <x:c r="A13" s="6" t="str"/>
    </x:row>
    <x:row r="14">
      <x:c r="A14" s="6" t="str">
        <x:v>Sheet wajib minimum untuk dashboard berjalan:</x:v>
      </x:c>
    </x:row>
    <x:row r="15">
      <x:c r="A15" s="6" t="str">
        <x:v>PARAMETERS, DIM_DEPARTMENT, REVENUE_YR, HEADCOUNT_YR, PAYROLL_YR, FJA_MAPPING, TARGETS.</x:v>
      </x:c>
    </x:row>
    <x:row r="16">
      <x:c r="A16" s="6" t="str"/>
    </x:row>
    <x:row r="17">
      <x:c r="A17" s="6" t="str">
        <x:v>Catatan penting:</x:v>
      </x:c>
    </x:row>
    <x:row r="18">
      <x:c r="A18" s="6" t="str">
        <x:v>- Revenue by department idealnya diisi jika ingin analisis produktivitas per departemen/FJA lebih akurat.</x:v>
      </x:c>
    </x:row>
    <x:row r="19">
      <x:c r="A19" s="6" t="str">
        <x:v>- Capacity indicators seperti overtime, SLA breach, backlog, dan turnover membuat Capacity Risk lebih defensible di depan Board.</x:v>
      </x:c>
    </x:row>
    <x:row r="20">
      <x:c r="A20" s="6" t="str">
        <x:v>- Semua nilai uang diisi dalam currency sesuai PARAMETERS.</x:v>
      </x:c>
    </x:row>
    <x:row r="21">
      <x:c r="A21" s="41" t="str">
        <x:v>Update v2.1:</x:v>
      </x:c>
    </x:row>
    <x:row r="22">
      <x:c r="A22" s="6" t="str">
        <x:v>Template sample data sudah diperpanjang sampai tahun 2026.</x:v>
      </x:c>
    </x:row>
    <x:row r="23">
      <x:c r="A23" s="6" t="str">
        <x:v>Ganti angka sample dengan data aktual sebelum digunakan untuk Board/CFO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70" hidden="0" customWidth="1"/>
  </x:cols>
  <x:sheetData>
    <x:row r="1">
      <x:c r="A1" s="12" t="str">
        <x:v>Parameter</x:v>
      </x:c>
      <x:c r="B1" s="12" t="str">
        <x:v>Value</x:v>
      </x:c>
      <x:c r="C1" s="12" t="str">
        <x:v>Description</x:v>
      </x:c>
    </x:row>
    <x:row r="2">
      <x:c r="A2" s="6" t="str">
        <x:v>Company_Name</x:v>
      </x:c>
      <x:c r="B2" s="6" t="str">
        <x:v>Starcom Solusindo</x:v>
      </x:c>
      <x:c r="C2" s="6" t="str">
        <x:v>Nama perusahaan untuk header dashboard.</x:v>
      </x:c>
    </x:row>
    <x:row r="3">
      <x:c r="A3" s="6" t="str">
        <x:v>Currency_Code</x:v>
      </x:c>
      <x:c r="B3" s="6" t="str">
        <x:v>IDR</x:v>
      </x:c>
      <x:c r="C3" s="6" t="str">
        <x:v>Kode mata uang dashboard.</x:v>
      </x:c>
    </x:row>
    <x:row r="4">
      <x:c r="A4" s="6" t="str">
        <x:v>Start_Year</x:v>
      </x:c>
      <x:c r="B4" s="6" t="n">
        <x:v>2021</x:v>
      </x:c>
      <x:c r="C4" s="6" t="str">
        <x:v>Tahun awal analisis.</x:v>
      </x:c>
    </x:row>
    <x:row r="5">
      <x:c r="A5" s="6" t="str">
        <x:v>End_Year</x:v>
      </x:c>
      <x:c r="B5" s="6" t="n">
        <x:v>2026</x:v>
      </x:c>
      <x:c r="C5" s="6" t="str">
        <x:v>Tahun akhir analisis.</x:v>
      </x:c>
    </x:row>
    <x:row r="6">
      <x:c r="A6" s="6" t="str">
        <x:v>Dashboard_Mode</x:v>
      </x:c>
      <x:c r="B6" s="6" t="str">
        <x:v>YEARLY</x:v>
      </x:c>
      <x:c r="C6" s="6" t="str">
        <x:v>YEARLY untuk template ini.</x:v>
      </x:c>
    </x:row>
    <x:row r="7">
      <x:c r="A7" s="6" t="str">
        <x:v>MCR_Healthy_Range</x:v>
      </x:c>
      <x:c r="B7" s="6" t="str">
        <x:v>5–7%</x:v>
      </x:c>
      <x:c r="C7" s="6" t="str">
        <x:v>Band final MCR sehat.</x:v>
      </x:c>
    </x:row>
    <x:row r="8">
      <x:c r="A8" s="6" t="str">
        <x:v>Gross_Margin_Healthy_Min</x:v>
      </x:c>
      <x:c r="B8" s="19" t="n">
        <x:v>0.25</x:v>
      </x:c>
      <x:c r="C8" s="6" t="str">
        <x:v>Minimum Gross Margin sehat.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0" hidden="0" customWidth="1"/>
    <x:col min="4" max="4" width="28" hidden="0" customWidth="1"/>
    <x:col min="5" max="5" width="65" hidden="0" customWidth="1"/>
  </x:cols>
  <x:sheetData>
    <x:row r="1">
      <x:c r="A1" s="12" t="str">
        <x:v>KPI</x:v>
      </x:c>
      <x:c r="B1" s="12" t="str">
        <x:v>Target_Value</x:v>
      </x:c>
      <x:c r="C1" s="12" t="str">
        <x:v>Unit</x:v>
      </x:c>
      <x:c r="D1" s="12" t="str">
        <x:v>Threshold_Band</x:v>
      </x:c>
      <x:c r="E1" s="12" t="str">
        <x:v>Board_Use</x:v>
      </x:c>
    </x:row>
    <x:row r="2">
      <x:c r="A2" s="6" t="str">
        <x:v>Revenue_Growth_Min</x:v>
      </x:c>
      <x:c r="B2" s="19" t="n">
        <x:v>0.2</x:v>
      </x:c>
      <x:c r="C2" s="6" t="str">
        <x:v>%</x:v>
      </x:c>
      <x:c r="D2" s="6" t="str">
        <x:v>&gt;=20% = strong growth</x:v>
      </x:c>
      <x:c r="E2" s="6" t="str">
        <x:v>Batas minimum pertumbuhan revenue yang dianggap kuat.</x:v>
      </x:c>
    </x:row>
    <x:row r="3">
      <x:c r="A3" s="6" t="str">
        <x:v>RPE_Growth_Min</x:v>
      </x:c>
      <x:c r="B3" s="19" t="n">
        <x:v>0.15</x:v>
      </x:c>
      <x:c r="C3" s="6" t="str">
        <x:v>%</x:v>
      </x:c>
      <x:c r="D3" s="6" t="str">
        <x:v>&gt;=15% = productivity expansion</x:v>
      </x:c>
      <x:c r="E3" s="6" t="str">
        <x:v>Batas minimum pertumbuhan Revenue per Employee.</x:v>
      </x:c>
    </x:row>
    <x:row r="4">
      <x:c r="A4" s="6" t="str">
        <x:v>Headcount_Growth_Max_High_Leverage</x:v>
      </x:c>
      <x:c r="B4" s="19" t="n">
        <x:v>0.1</x:v>
      </x:c>
      <x:c r="C4" s="6" t="str">
        <x:v>%</x:v>
      </x:c>
      <x:c r="D4" s="6" t="str">
        <x:v>&lt;=10% = HC controlled</x:v>
      </x:c>
      <x:c r="E4" s="6" t="str">
        <x:v>Batas HC growth agar growth tetap high leverage.</x:v>
      </x:c>
    </x:row>
    <x:row r="5">
      <x:c r="A5" s="6" t="str">
        <x:v>MCR_Ultra_Efficiency_Max</x:v>
      </x:c>
      <x:c r="B5" s="19" t="n">
        <x:v>0.05</x:v>
      </x:c>
      <x:c r="C5" s="6" t="str">
        <x:v>%</x:v>
      </x:c>
      <x:c r="D5" s="6" t="str">
        <x:v>&lt;5% = Ultra Efficiency</x:v>
      </x:c>
      <x:c r="E5" s="6" t="str">
        <x:v>MCR sangat rendah; perlu validasi kapasitas.</x:v>
      </x:c>
    </x:row>
    <x:row r="6">
      <x:c r="A6" s="6" t="str">
        <x:v>MCR_Healthy_Min</x:v>
      </x:c>
      <x:c r="B6" s="19" t="n">
        <x:v>0.05</x:v>
      </x:c>
      <x:c r="C6" s="6" t="str">
        <x:v>%</x:v>
      </x:c>
      <x:c r="D6" s="6" t="str">
        <x:v>5–7% = Healthy</x:v>
      </x:c>
      <x:c r="E6" s="6" t="str">
        <x:v>Batas bawah MCR sehat.</x:v>
      </x:c>
    </x:row>
    <x:row r="7">
      <x:c r="A7" s="6" t="str">
        <x:v>MCR_Healthy_Max</x:v>
      </x:c>
      <x:c r="B7" s="19" t="n">
        <x:v>0.07</x:v>
      </x:c>
      <x:c r="C7" s="6" t="str">
        <x:v>%</x:v>
      </x:c>
      <x:c r="D7" s="6" t="str">
        <x:v>5–7% = Healthy</x:v>
      </x:c>
      <x:c r="E7" s="6" t="str">
        <x:v>Batas atas MCR sehat.</x:v>
      </x:c>
    </x:row>
    <x:row r="8">
      <x:c r="A8" s="6" t="str">
        <x:v>MCR_Watch_Max</x:v>
      </x:c>
      <x:c r="B8" s="19" t="n">
        <x:v>0.09</x:v>
      </x:c>
      <x:c r="C8" s="6" t="str">
        <x:v>%</x:v>
      </x:c>
      <x:c r="D8" s="6" t="str">
        <x:v>7–9% = Watch</x:v>
      </x:c>
      <x:c r="E8" s="6" t="str">
        <x:v>Zona pantau people-cost.</x:v>
      </x:c>
    </x:row>
    <x:row r="9">
      <x:c r="A9" s="6" t="str">
        <x:v>MCR_Cost_Pressure_Max</x:v>
      </x:c>
      <x:c r="B9" s="19" t="n">
        <x:v>0.14</x:v>
      </x:c>
      <x:c r="C9" s="6" t="str">
        <x:v>%</x:v>
      </x:c>
      <x:c r="D9" s="6" t="str">
        <x:v>9–14% = Cost Pressure</x:v>
      </x:c>
      <x:c r="E9" s="6" t="str">
        <x:v>Zona tekanan biaya manpower.</x:v>
      </x:c>
    </x:row>
    <x:row r="10">
      <x:c r="A10" s="6" t="str">
        <x:v>MCR_Critical_Min</x:v>
      </x:c>
      <x:c r="B10" s="19" t="n">
        <x:v>0.14</x:v>
      </x:c>
      <x:c r="C10" s="6" t="str">
        <x:v>%</x:v>
      </x:c>
      <x:c r="D10" s="6" t="str">
        <x:v>&gt;14% = Critical</x:v>
      </x:c>
      <x:c r="E10" s="6" t="str">
        <x:v>Level kritikal people-cost terhadap revenue.</x:v>
      </x:c>
    </x:row>
    <x:row r="11">
      <x:c r="A11" s="6" t="str">
        <x:v>Gross_Margin_Strong_Min</x:v>
      </x:c>
      <x:c r="B11" s="19" t="n">
        <x:v>0.35</x:v>
      </x:c>
      <x:c r="C11" s="6" t="str">
        <x:v>%</x:v>
      </x:c>
      <x:c r="D11" s="6" t="str">
        <x:v>&gt;35% = Strong</x:v>
      </x:c>
      <x:c r="E11" s="6" t="str">
        <x:v>Margin sangat kuat.</x:v>
      </x:c>
    </x:row>
    <x:row r="12">
      <x:c r="A12" s="6" t="str">
        <x:v>Gross_Margin_Healthy_Min</x:v>
      </x:c>
      <x:c r="B12" s="19" t="n">
        <x:v>0.25</x:v>
      </x:c>
      <x:c r="C12" s="6" t="str">
        <x:v>%</x:v>
      </x:c>
      <x:c r="D12" s="6" t="str">
        <x:v>25–35% = Healthy</x:v>
      </x:c>
      <x:c r="E12" s="6" t="str">
        <x:v>Margin sehat.</x:v>
      </x:c>
    </x:row>
    <x:row r="13">
      <x:c r="A13" s="6" t="str">
        <x:v>Gross_Margin_Watch_Min</x:v>
      </x:c>
      <x:c r="B13" s="19" t="n">
        <x:v>0.15</x:v>
      </x:c>
      <x:c r="C13" s="6" t="str">
        <x:v>%</x:v>
      </x:c>
      <x:c r="D13" s="6" t="str">
        <x:v>15–25% = Watch</x:v>
      </x:c>
      <x:c r="E13" s="6" t="str">
        <x:v>Margin perlu dipantau.</x:v>
      </x:c>
    </x:row>
    <x:row r="14">
      <x:c r="A14" s="6" t="str">
        <x:v>Gross_Margin_Pressure_Min</x:v>
      </x:c>
      <x:c r="B14" s="19" t="n">
        <x:v>0.1</x:v>
      </x:c>
      <x:c r="C14" s="6" t="str">
        <x:v>%</x:v>
      </x:c>
      <x:c r="D14" s="6" t="str">
        <x:v>10–15% = Pressure</x:v>
      </x:c>
      <x:c r="E14" s="6" t="str">
        <x:v>Margin mulai tertekan.</x:v>
      </x:c>
    </x:row>
    <x:row r="15">
      <x:c r="A15" s="6" t="str">
        <x:v>Gross_Margin_Critical_Max</x:v>
      </x:c>
      <x:c r="B15" s="19" t="n">
        <x:v>0.1</x:v>
      </x:c>
      <x:c r="C15" s="6" t="str">
        <x:v>%</x:v>
      </x:c>
      <x:c r="D15" s="6" t="str">
        <x:v>&lt;10% = Critical</x:v>
      </x:c>
      <x:c r="E15" s="6" t="str">
        <x:v>Margin kritikal.</x:v>
      </x:c>
    </x:row>
  </x:sheetData>
  <x:pageMargins left="0.7" right="0.7" top="0.75" bottom="0.75" header="0.3" footer="0.3"/>
  <x:tableParts count="1">
    <x:tablePart xmlns:r="http://schemas.openxmlformats.org/officeDocument/2006/relationships" r:id="Re625c944a7ab49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18" hidden="0" customWidth="1"/>
    <x:col min="5" max="5" width="70" hidden="0" customWidth="1"/>
  </x:cols>
  <x:sheetData>
    <x:row r="1">
      <x:c r="A1" s="12" t="str">
        <x:v>Function_Group</x:v>
      </x:c>
      <x:c r="B1" s="12" t="str">
        <x:v>FJA_Category</x:v>
      </x:c>
      <x:c r="C1" s="12" t="str">
        <x:v>Value_Role</x:v>
      </x:c>
      <x:c r="D1" s="12" t="str">
        <x:v>Revenue_Impact</x:v>
      </x:c>
      <x:c r="E1" s="12" t="str">
        <x:v>Board_Interpretation</x:v>
      </x:c>
    </x:row>
    <x:row r="2">
      <x:c r="A2" s="6" t="str">
        <x:v>Sales</x:v>
      </x:c>
      <x:c r="B2" s="6" t="str">
        <x:v>Revenue Generator</x:v>
      </x:c>
      <x:c r="C2" s="6" t="str">
        <x:v>Direct revenue creation</x:v>
      </x:c>
      <x:c r="D2" s="6" t="str">
        <x:v>Direct</x:v>
      </x:c>
      <x:c r="E2" s="6" t="str">
        <x:v>Fungsi penghasil revenue langsung; prioritaskan pipeline, conversion, dan retention sales key person.</x:v>
      </x:c>
    </x:row>
    <x:row r="3">
      <x:c r="A3" s="6" t="str">
        <x:v>Operations/Project</x:v>
      </x:c>
      <x:c r="B3" s="6" t="str">
        <x:v>Revenue Enabler</x:v>
      </x:c>
      <x:c r="C3" s="6" t="str">
        <x:v>Delivery &amp; project execution</x:v>
      </x:c>
      <x:c r="D3" s="6" t="str">
        <x:v>Direct/Enabling</x:v>
      </x:c>
      <x:c r="E3" s="6" t="str">
        <x:v>Fungsi delivery yang mengonversi kontrak menjadi revenue recognized; monitor backlog, SLA, rework, dan utilisasi.</x:v>
      </x:c>
    </x:row>
    <x:row r="4">
      <x:c r="A4" s="6" t="str">
        <x:v>Engineering</x:v>
      </x:c>
      <x:c r="B4" s="6" t="str">
        <x:v>Revenue Enabler</x:v>
      </x:c>
      <x:c r="C4" s="6" t="str">
        <x:v>Technical capability &amp; solution delivery</x:v>
      </x:c>
      <x:c r="D4" s="6" t="str">
        <x:v>Direct/Enabling</x:v>
      </x:c>
      <x:c r="E4" s="6" t="str">
        <x:v>Fungsi teknis yang menopang kualitas delivery dan scalability; monitor bottleneck, certification, dan dependency.</x:v>
      </x:c>
    </x:row>
    <x:row r="5">
      <x:c r="A5" s="6" t="str">
        <x:v>Support</x:v>
      </x:c>
      <x:c r="B5" s="6" t="str">
        <x:v>Support Function</x:v>
      </x:c>
      <x:c r="C5" s="6" t="str">
        <x:v>Back-office support &amp; control</x:v>
      </x:c>
      <x:c r="D5" s="6" t="str">
        <x:v>Indirect</x:v>
      </x:c>
      <x:c r="E5" s="6" t="str">
        <x:v>Fungsi pendukung; jaga proporsi agar tidak tumbuh lebih cepat dari revenue driver/enabler.</x:v>
      </x:c>
    </x:row>
    <x:row r="6">
      <x:c r="A6" s="6" t="str">
        <x:v>Management</x:v>
      </x:c>
      <x:c r="B6" s="6" t="str">
        <x:v>Governance / Management</x:v>
      </x:c>
      <x:c r="C6" s="6" t="str">
        <x:v>Leadership &amp; governance</x:v>
      </x:c>
      <x:c r="D6" s="6" t="str">
        <x:v>Indirect/Strategic</x:v>
      </x:c>
      <x:c r="E6" s="6" t="str">
        <x:v>Fungsi pengarah dan kontrol; harus proporsional terhadap growth dan kompleksitas bisnis.</x:v>
      </x:c>
    </x:row>
    <x:row r="7">
      <x:c r="A7" s="6" t="str">
        <x:v>UNMAPPED</x:v>
      </x:c>
      <x:c r="B7" s="6" t="str">
        <x:v>Unmapped</x:v>
      </x:c>
      <x:c r="C7" s="6" t="str">
        <x:v>Needs cleanup</x:v>
      </x:c>
      <x:c r="D7" s="6" t="str">
        <x:v>Unknown</x:v>
      </x:c>
      <x:c r="E7" s="6" t="str">
        <x:v>Mapping belum lengkap; perbaiki Function_Group di DIM_DEPARTMENT agar analisis FJA akurat.</x:v>
      </x:c>
    </x:row>
  </x:sheetData>
  <x:pageMargins left="0.7" right="0.7" top="0.75" bottom="0.75" header="0.3" footer="0.3"/>
  <x:tableParts count="1">
    <x:tablePart xmlns:r="http://schemas.openxmlformats.org/officeDocument/2006/relationships" r:id="R36af9b379bd642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</x:cols>
  <x:sheetData>
    <x:row r="1">
      <x:c r="A1" s="12" t="str">
        <x:v>Dept_ID</x:v>
      </x:c>
      <x:c r="B1" s="12" t="str">
        <x:v>Dept_Name</x:v>
      </x:c>
      <x:c r="C1" s="12" t="str">
        <x:v>Function_Group</x:v>
      </x:c>
      <x:c r="D1" s="12" t="str">
        <x:v>Revenue_Driver_Flag</x:v>
      </x:c>
      <x:c r="E1" s="12" t="str">
        <x:v>FJA_Category_Override</x:v>
      </x:c>
      <x:c r="F1" s="12" t="str">
        <x:v>Notes</x:v>
      </x:c>
    </x:row>
    <x:row r="2">
      <x:c r="A2" s="6" t="str">
        <x:v>D001</x:v>
      </x:c>
      <x:c r="B2" s="6" t="str">
        <x:v>Sales</x:v>
      </x:c>
      <x:c r="C2" s="6" t="str">
        <x:v>Sales</x:v>
      </x:c>
      <x:c r="D2" s="6" t="str">
        <x:v>Y</x:v>
      </x:c>
      <x:c r="E2" s="6" t="str"/>
      <x:c r="F2" s="6" t="str">
        <x:v>Sales &amp; account management</x:v>
      </x:c>
    </x:row>
    <x:row r="3">
      <x:c r="A3" s="6" t="str">
        <x:v>D002</x:v>
      </x:c>
      <x:c r="B3" s="6" t="str">
        <x:v>Operations</x:v>
      </x:c>
      <x:c r="C3" s="6" t="str">
        <x:v>Operations/Project</x:v>
      </x:c>
      <x:c r="D3" s="6" t="str">
        <x:v>Y</x:v>
      </x:c>
      <x:c r="E3" s="6" t="str"/>
      <x:c r="F3" s="6" t="str">
        <x:v>Project delivery / operations</x:v>
      </x:c>
    </x:row>
    <x:row r="4">
      <x:c r="A4" s="6" t="str">
        <x:v>D003</x:v>
      </x:c>
      <x:c r="B4" s="6" t="str">
        <x:v>HRGA</x:v>
      </x:c>
      <x:c r="C4" s="6" t="str">
        <x:v>Support</x:v>
      </x:c>
      <x:c r="D4" s="6" t="str">
        <x:v>N</x:v>
      </x:c>
      <x:c r="E4" s="6" t="str"/>
      <x:c r="F4" s="6" t="str">
        <x:v>People &amp; general affairs</x:v>
      </x:c>
    </x:row>
    <x:row r="5">
      <x:c r="A5" s="6" t="str">
        <x:v>D004</x:v>
      </x:c>
      <x:c r="B5" s="6" t="str">
        <x:v>Procurement</x:v>
      </x:c>
      <x:c r="C5" s="6" t="str">
        <x:v>Support</x:v>
      </x:c>
      <x:c r="D5" s="6" t="str">
        <x:v>N</x:v>
      </x:c>
      <x:c r="E5" s="6" t="str"/>
      <x:c r="F5" s="6" t="str">
        <x:v>Purchasing &amp; vendor management</x:v>
      </x:c>
    </x:row>
    <x:row r="6">
      <x:c r="A6" s="6" t="str">
        <x:v>D005</x:v>
      </x:c>
      <x:c r="B6" s="6" t="str">
        <x:v>Prodev</x:v>
      </x:c>
      <x:c r="C6" s="6" t="str">
        <x:v>Engineering</x:v>
      </x:c>
      <x:c r="D6" s="6" t="str">
        <x:v>Y</x:v>
      </x:c>
      <x:c r="E6" s="6" t="str"/>
      <x:c r="F6" s="6" t="str">
        <x:v>Product/technical development</x:v>
      </x:c>
    </x:row>
    <x:row r="7">
      <x:c r="A7" s="6" t="str">
        <x:v>D006</x:v>
      </x:c>
      <x:c r="B7" s="6" t="str">
        <x:v>Finance</x:v>
      </x:c>
      <x:c r="C7" s="6" t="str">
        <x:v>Support</x:v>
      </x:c>
      <x:c r="D7" s="6" t="str">
        <x:v>N</x:v>
      </x:c>
      <x:c r="E7" s="6" t="str"/>
      <x:c r="F7" s="6" t="str">
        <x:v>Finance &amp; accounting</x:v>
      </x:c>
    </x:row>
    <x:row r="8">
      <x:c r="A8" s="6" t="str">
        <x:v>D007</x:v>
      </x:c>
      <x:c r="B8" s="6" t="str">
        <x:v>Management</x:v>
      </x:c>
      <x:c r="C8" s="6" t="str">
        <x:v>Management</x:v>
      </x:c>
      <x:c r="D8" s="6" t="str">
        <x:v>N</x:v>
      </x:c>
      <x:c r="E8" s="6" t="str"/>
      <x:c r="F8" s="6" t="str">
        <x:v>Executive/governance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f1d8ff60604b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12" t="str">
        <x:v>Employee_ID</x:v>
      </x:c>
      <x:c r="B1" s="12" t="str">
        <x:v>Employee_Name</x:v>
      </x:c>
      <x:c r="C1" s="12" t="str">
        <x:v>Dept_ID</x:v>
      </x:c>
      <x:c r="D1" s="12" t="str">
        <x:v>Position</x:v>
      </x:c>
      <x:c r="E1" s="12" t="str">
        <x:v>Employment_Type</x:v>
      </x:c>
      <x:c r="F1" s="21" t="str">
        <x:v>Join_Date</x:v>
      </x:c>
      <x:c r="G1" s="21" t="str">
        <x:v>Exit_Date</x:v>
      </x:c>
      <x:c r="H1" s="12" t="str">
        <x:v>Critical_Role_Flag</x:v>
      </x:c>
      <x:c r="I1" s="12" t="str">
        <x:v>Notes</x:v>
      </x:c>
    </x:row>
    <x:row r="2">
      <x:c r="A2" s="6" t="str">
        <x:v>E001</x:v>
      </x:c>
      <x:c r="B2" s="6" t="str">
        <x:v>Sample Sales Lead</x:v>
      </x:c>
      <x:c r="C2" s="6" t="str">
        <x:v>D001</x:v>
      </x:c>
      <x:c r="D2" s="6" t="str">
        <x:v>Sales Manager</x:v>
      </x:c>
      <x:c r="E2" s="6" t="str">
        <x:v>Permanent</x:v>
      </x:c>
      <x:c r="F2" s="6" t="str">
        <x:v>2021-01-01</x:v>
      </x:c>
      <x:c r="G2" s="6" t="str"/>
      <x:c r="H2" s="6" t="str">
        <x:v>Y</x:v>
      </x:c>
      <x:c r="I2" s="6" t="str">
        <x:v>Example</x:v>
      </x:c>
    </x:row>
    <x:row r="3">
      <x:c r="A3" s="6" t="str">
        <x:v>E002</x:v>
      </x:c>
      <x:c r="B3" s="6" t="str">
        <x:v>Sample Engineer</x:v>
      </x:c>
      <x:c r="C3" s="6" t="str">
        <x:v>D005</x:v>
      </x:c>
      <x:c r="D3" s="6" t="str">
        <x:v>Senior Engineer</x:v>
      </x:c>
      <x:c r="E3" s="6" t="str">
        <x:v>Permanent</x:v>
      </x:c>
      <x:c r="F3" s="6" t="str">
        <x:v>2021-01-01</x:v>
      </x:c>
      <x:c r="G3" s="6" t="str"/>
      <x:c r="H3" s="6" t="str">
        <x:v>Y</x:v>
      </x:c>
      <x:c r="I3" s="6" t="str">
        <x:v>Example</x:v>
      </x:c>
    </x:row>
    <x:row r="4">
      <x:c r="A4" s="6" t="str">
        <x:v>E003</x:v>
      </x:c>
      <x:c r="B4" s="6" t="str">
        <x:v>Sample Ops</x:v>
      </x:c>
      <x:c r="C4" s="6" t="str">
        <x:v>D002</x:v>
      </x:c>
      <x:c r="D4" s="6" t="str">
        <x:v>Project Coordinator</x:v>
      </x:c>
      <x:c r="E4" s="6" t="str">
        <x:v>Contract</x:v>
      </x:c>
      <x:c r="F4" s="6" t="str">
        <x:v>2022-03-01</x:v>
      </x:c>
      <x:c r="G4" s="6" t="str"/>
      <x:c r="H4" s="6" t="str">
        <x:v>N</x:v>
      </x:c>
      <x:c r="I4" s="6" t="str">
        <x:v>Example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1b1fa6bd054c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</x:cols>
  <x:sheetData>
    <x:row r="1">
      <x:c r="A1" s="34" t="str">
        <x:v>Year</x:v>
      </x:c>
      <x:c r="B1" s="34" t="str">
        <x:v>Business_Line</x:v>
      </x:c>
      <x:c r="C1" s="35" t="str">
        <x:v>Revenue_Recognized</x:v>
      </x:c>
      <x:c r="D1" s="35" t="str">
        <x:v>COGS_Direct</x:v>
      </x:c>
      <x:c r="E1" s="35" t="str">
        <x:v>Gross_Profit</x:v>
      </x:c>
      <x:c r="F1" s="36" t="str">
        <x:v>Gross_Margin_Pct</x:v>
      </x:c>
      <x:c r="G1" s="34" t="str">
        <x:v>Notes</x:v>
      </x:c>
    </x:row>
    <x:row r="2">
      <x:c r="A2" s="37" t="n">
        <x:v>2021</x:v>
      </x:c>
      <x:c r="B2" s="37" t="str">
        <x:v>Total Company</x:v>
      </x:c>
      <x:c r="C2" s="37" t="n">
        <x:v>45048932718</x:v>
      </x:c>
      <x:c r="D2" s="37" t="n">
        <x:v>23425445013</x:v>
      </x:c>
      <x:c r="E2" s="37" t="n">
        <x:f>C2-D2</x:f>
        <x:v>21623487705</x:v>
      </x:c>
      <x:c r="F2" s="37" t="n">
        <x:f>IF(C2&gt;0,E2/C2,"")</x:f>
        <x:v>0.4800000000079913</x:v>
      </x:c>
      <x:c r="G2" s="37" t="str">
        <x:v>Sample data - replace with actual</x:v>
      </x:c>
    </x:row>
    <x:row r="3">
      <x:c r="A3" s="37" t="n">
        <x:v>2022</x:v>
      </x:c>
      <x:c r="B3" s="37" t="str">
        <x:v>Total Company</x:v>
      </x:c>
      <x:c r="C3" s="37" t="n">
        <x:v>51100000000</x:v>
      </x:c>
      <x:c r="D3" s="37" t="n">
        <x:v>27000000000</x:v>
      </x:c>
      <x:c r="E3" s="37" t="n">
        <x:f>C3-D3</x:f>
        <x:v>24100000000</x:v>
      </x:c>
      <x:c r="F3" s="37" t="n">
        <x:f>IF(C3&gt;0,E3/C3,"")</x:f>
        <x:v>0.47162426614481406</x:v>
      </x:c>
      <x:c r="G3" s="37" t="str">
        <x:v>Sample data - replace with actual</x:v>
      </x:c>
    </x:row>
    <x:row r="4">
      <x:c r="A4" s="37" t="n">
        <x:v>2023</x:v>
      </x:c>
      <x:c r="B4" s="37" t="str">
        <x:v>Total Company</x:v>
      </x:c>
      <x:c r="C4" s="37" t="n">
        <x:v>58750000000</x:v>
      </x:c>
      <x:c r="D4" s="37" t="n">
        <x:v>32500000000</x:v>
      </x:c>
      <x:c r="E4" s="37" t="n">
        <x:f>C4-D4</x:f>
        <x:v>26250000000</x:v>
      </x:c>
      <x:c r="F4" s="37" t="n">
        <x:f>IF(C4&gt;0,E4/C4,"")</x:f>
        <x:v>0.44680851063829785</x:v>
      </x:c>
      <x:c r="G4" s="37" t="str">
        <x:v>Sample data - replace with actual</x:v>
      </x:c>
    </x:row>
    <x:row r="5">
      <x:c r="A5" s="37" t="n">
        <x:v>2024</x:v>
      </x:c>
      <x:c r="B5" s="37" t="str">
        <x:v>Total Company</x:v>
      </x:c>
      <x:c r="C5" s="37" t="n">
        <x:v>62700000000</x:v>
      </x:c>
      <x:c r="D5" s="37" t="n">
        <x:v>35000000000</x:v>
      </x:c>
      <x:c r="E5" s="37" t="n">
        <x:f>C5-D5</x:f>
        <x:v>27700000000</x:v>
      </x:c>
      <x:c r="F5" s="37" t="n">
        <x:f>IF(C5&gt;0,E5/C5,"")</x:f>
        <x:v>0.44178628389154706</x:v>
      </x:c>
      <x:c r="G5" s="37" t="str">
        <x:v>Sample data - replace with actual</x:v>
      </x:c>
    </x:row>
    <x:row r="6">
      <x:c r="A6" s="37" t="n">
        <x:v>2025</x:v>
      </x:c>
      <x:c r="B6" s="37" t="str">
        <x:v>Total Company</x:v>
      </x:c>
      <x:c r="C6" s="37" t="n">
        <x:v>89705623736</x:v>
      </x:c>
      <x:c r="D6" s="37" t="n">
        <x:v>67368593009</x:v>
      </x:c>
      <x:c r="E6" s="37" t="n">
        <x:f>C6-D6</x:f>
        <x:v>22337030727</x:v>
      </x:c>
      <x:c r="F6" s="37" t="n">
        <x:f>IF(C6&gt;0,E6/C6,"")</x:f>
        <x:v>0.2490036833447251</x:v>
      </x:c>
      <x:c r="G6" s="37" t="str">
        <x:v>Sample data - replace with actual</x:v>
      </x:c>
    </x:row>
    <x:row r="7">
      <x:c r="A7" s="37" t="n">
        <x:v>2026</x:v>
      </x:c>
      <x:c r="B7" s="37" t="str">
        <x:v>Total Company</x:v>
      </x:c>
      <x:c r="C7" s="37" t="n">
        <x:v>98500000000</x:v>
      </x:c>
      <x:c r="D7" s="37" t="n">
        <x:v>72890000000</x:v>
      </x:c>
      <x:c r="E7" s="37" t="n">
        <x:f>C7-D7</x:f>
        <x:v>25610000000</x:v>
      </x:c>
      <x:c r="F7" s="37" t="n">
        <x:f>IF(C7&gt;0,E7/C7,"")</x:f>
        <x:v>0.26</x:v>
      </x:c>
      <x:c r="G7" s="37" t="str">
        <x:v>Sample 2026 - replace with actual</x:v>
      </x:c>
    </x:row>
  </x:sheetData>
  <x:pageMargins left="0.7" right="0.7" top="0.75" bottom="0.75" header="0.3" footer="0.3"/>
  <x:tableParts count="2">
    <x:tablePart xmlns:r="http://schemas.openxmlformats.org/officeDocument/2006/relationships" r:id="R4b80d10b7a3a4c46"/>
    <x:tablePart xmlns:r="http://schemas.openxmlformats.org/officeDocument/2006/relationships" r:id="Re2405bb93f6741d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2" hidden="0" customWidth="1"/>
    <x:col min="6" max="6" width="32" hidden="0" customWidth="1"/>
  </x:cols>
  <x:sheetData>
    <x:row r="1">
      <x:c r="A1" s="34" t="str">
        <x:v>Year</x:v>
      </x:c>
      <x:c r="B1" s="34" t="str">
        <x:v>Dept_ID</x:v>
      </x:c>
      <x:c r="C1" s="35" t="str">
        <x:v>Revenue_Recognized</x:v>
      </x:c>
      <x:c r="D1" s="34" t="str">
        <x:v>Direct_or_Allocated</x:v>
      </x:c>
      <x:c r="E1" s="34" t="str">
        <x:v>Allocation_Method</x:v>
      </x:c>
      <x:c r="F1" s="34" t="str">
        <x:v>Notes</x:v>
      </x:c>
    </x:row>
    <x:row r="2">
      <x:c r="A2" s="37" t="n">
        <x:v>2021</x:v>
      </x:c>
      <x:c r="B2" s="37" t="str">
        <x:v>D001</x:v>
      </x:c>
      <x:c r="C2" s="37" t="n">
        <x:v>18019573087</x:v>
      </x:c>
      <x:c r="D2" s="37" t="str">
        <x:v>Allocated</x:v>
      </x:c>
      <x:c r="E2" s="37" t="str">
        <x:v>Pipeline/Account ownership</x:v>
      </x:c>
      <x:c r="F2" s="37" t="str">
        <x:v>Sample</x:v>
      </x:c>
    </x:row>
    <x:row r="3">
      <x:c r="A3" s="37" t="n">
        <x:v>2021</x:v>
      </x:c>
      <x:c r="B3" s="37" t="str">
        <x:v>D002</x:v>
      </x:c>
      <x:c r="C3" s="37" t="n">
        <x:v>15767126451</x:v>
      </x:c>
      <x:c r="D3" s="37" t="str">
        <x:v>Allocated</x:v>
      </x:c>
      <x:c r="E3" s="37" t="str">
        <x:v>Delivery ownership</x:v>
      </x:c>
      <x:c r="F3" s="37" t="str">
        <x:v>Sample</x:v>
      </x:c>
    </x:row>
    <x:row r="4">
      <x:c r="A4" s="37" t="n">
        <x:v>2021</x:v>
      </x:c>
      <x:c r="B4" s="37" t="str">
        <x:v>D005</x:v>
      </x:c>
      <x:c r="C4" s="37" t="n">
        <x:v>11262233180</x:v>
      </x:c>
      <x:c r="D4" s="37" t="str">
        <x:v>Allocated</x:v>
      </x:c>
      <x:c r="E4" s="37" t="str">
        <x:v>Technical delivery</x:v>
      </x:c>
      <x:c r="F4" s="37" t="str">
        <x:v>Sample</x:v>
      </x:c>
    </x:row>
    <x:row r="5">
      <x:c r="A5" s="37" t="n">
        <x:v>2022</x:v>
      </x:c>
      <x:c r="B5" s="37" t="str">
        <x:v>D001</x:v>
      </x:c>
      <x:c r="C5" s="37" t="n">
        <x:v>20440000000</x:v>
      </x:c>
      <x:c r="D5" s="37" t="str">
        <x:v>Allocated</x:v>
      </x:c>
      <x:c r="E5" s="37" t="str">
        <x:v>Pipeline/Account ownership</x:v>
      </x:c>
      <x:c r="F5" s="37" t="str">
        <x:v>Sample</x:v>
      </x:c>
    </x:row>
    <x:row r="6">
      <x:c r="A6" s="37" t="n">
        <x:v>2022</x:v>
      </x:c>
      <x:c r="B6" s="37" t="str">
        <x:v>D002</x:v>
      </x:c>
      <x:c r="C6" s="37" t="n">
        <x:v>17885000000</x:v>
      </x:c>
      <x:c r="D6" s="37" t="str">
        <x:v>Allocated</x:v>
      </x:c>
      <x:c r="E6" s="37" t="str">
        <x:v>Delivery ownership</x:v>
      </x:c>
      <x:c r="F6" s="37" t="str">
        <x:v>Sample</x:v>
      </x:c>
    </x:row>
    <x:row r="7">
      <x:c r="A7" s="37" t="n">
        <x:v>2022</x:v>
      </x:c>
      <x:c r="B7" s="37" t="str">
        <x:v>D005</x:v>
      </x:c>
      <x:c r="C7" s="37" t="n">
        <x:v>12775000000</x:v>
      </x:c>
      <x:c r="D7" s="37" t="str">
        <x:v>Allocated</x:v>
      </x:c>
      <x:c r="E7" s="37" t="str">
        <x:v>Technical delivery</x:v>
      </x:c>
      <x:c r="F7" s="37" t="str">
        <x:v>Sample</x:v>
      </x:c>
    </x:row>
    <x:row r="8">
      <x:c r="A8" s="37" t="n">
        <x:v>2023</x:v>
      </x:c>
      <x:c r="B8" s="37" t="str">
        <x:v>D001</x:v>
      </x:c>
      <x:c r="C8" s="37" t="n">
        <x:v>23500000000</x:v>
      </x:c>
      <x:c r="D8" s="37" t="str">
        <x:v>Allocated</x:v>
      </x:c>
      <x:c r="E8" s="37" t="str">
        <x:v>Pipeline/Account ownership</x:v>
      </x:c>
      <x:c r="F8" s="37" t="str">
        <x:v>Sample</x:v>
      </x:c>
    </x:row>
    <x:row r="9">
      <x:c r="A9" s="37" t="n">
        <x:v>2023</x:v>
      </x:c>
      <x:c r="B9" s="37" t="str">
        <x:v>D002</x:v>
      </x:c>
      <x:c r="C9" s="37" t="n">
        <x:v>20562500000</x:v>
      </x:c>
      <x:c r="D9" s="37" t="str">
        <x:v>Allocated</x:v>
      </x:c>
      <x:c r="E9" s="37" t="str">
        <x:v>Delivery ownership</x:v>
      </x:c>
      <x:c r="F9" s="37" t="str">
        <x:v>Sample</x:v>
      </x:c>
    </x:row>
    <x:row r="10">
      <x:c r="A10" s="37" t="n">
        <x:v>2023</x:v>
      </x:c>
      <x:c r="B10" s="37" t="str">
        <x:v>D005</x:v>
      </x:c>
      <x:c r="C10" s="37" t="n">
        <x:v>14687500000</x:v>
      </x:c>
      <x:c r="D10" s="37" t="str">
        <x:v>Allocated</x:v>
      </x:c>
      <x:c r="E10" s="37" t="str">
        <x:v>Technical delivery</x:v>
      </x:c>
      <x:c r="F10" s="37" t="str">
        <x:v>Sample</x:v>
      </x:c>
    </x:row>
    <x:row r="11">
      <x:c r="A11" s="37" t="n">
        <x:v>2024</x:v>
      </x:c>
      <x:c r="B11" s="37" t="str">
        <x:v>D001</x:v>
      </x:c>
      <x:c r="C11" s="37" t="n">
        <x:v>25080000000</x:v>
      </x:c>
      <x:c r="D11" s="37" t="str">
        <x:v>Allocated</x:v>
      </x:c>
      <x:c r="E11" s="37" t="str">
        <x:v>Pipeline/Account ownership</x:v>
      </x:c>
      <x:c r="F11" s="37" t="str">
        <x:v>Sample</x:v>
      </x:c>
    </x:row>
    <x:row r="12">
      <x:c r="A12" s="37" t="n">
        <x:v>2024</x:v>
      </x:c>
      <x:c r="B12" s="37" t="str">
        <x:v>D002</x:v>
      </x:c>
      <x:c r="C12" s="37" t="n">
        <x:v>21945000000</x:v>
      </x:c>
      <x:c r="D12" s="37" t="str">
        <x:v>Allocated</x:v>
      </x:c>
      <x:c r="E12" s="37" t="str">
        <x:v>Delivery ownership</x:v>
      </x:c>
      <x:c r="F12" s="37" t="str">
        <x:v>Sample</x:v>
      </x:c>
    </x:row>
    <x:row r="13">
      <x:c r="A13" s="37" t="n">
        <x:v>2024</x:v>
      </x:c>
      <x:c r="B13" s="37" t="str">
        <x:v>D005</x:v>
      </x:c>
      <x:c r="C13" s="37" t="n">
        <x:v>15675000000</x:v>
      </x:c>
      <x:c r="D13" s="37" t="str">
        <x:v>Allocated</x:v>
      </x:c>
      <x:c r="E13" s="37" t="str">
        <x:v>Technical delivery</x:v>
      </x:c>
      <x:c r="F13" s="37" t="str">
        <x:v>Sample</x:v>
      </x:c>
    </x:row>
    <x:row r="14">
      <x:c r="A14" s="37" t="n">
        <x:v>2025</x:v>
      </x:c>
      <x:c r="B14" s="37" t="str">
        <x:v>D001</x:v>
      </x:c>
      <x:c r="C14" s="37" t="n">
        <x:v>35882249494</x:v>
      </x:c>
      <x:c r="D14" s="37" t="str">
        <x:v>Allocated</x:v>
      </x:c>
      <x:c r="E14" s="37" t="str">
        <x:v>Pipeline/Account ownership</x:v>
      </x:c>
      <x:c r="F14" s="37" t="str">
        <x:v>Sample</x:v>
      </x:c>
    </x:row>
    <x:row r="15">
      <x:c r="A15" s="37" t="n">
        <x:v>2025</x:v>
      </x:c>
      <x:c r="B15" s="37" t="str">
        <x:v>D002</x:v>
      </x:c>
      <x:c r="C15" s="37" t="n">
        <x:v>31396968308</x:v>
      </x:c>
      <x:c r="D15" s="37" t="str">
        <x:v>Allocated</x:v>
      </x:c>
      <x:c r="E15" s="37" t="str">
        <x:v>Delivery ownership</x:v>
      </x:c>
      <x:c r="F15" s="37" t="str">
        <x:v>Sample</x:v>
      </x:c>
    </x:row>
    <x:row r="16">
      <x:c r="A16" s="37" t="n">
        <x:v>2025</x:v>
      </x:c>
      <x:c r="B16" s="37" t="str">
        <x:v>D005</x:v>
      </x:c>
      <x:c r="C16" s="37" t="n">
        <x:v>22426405934</x:v>
      </x:c>
      <x:c r="D16" s="37" t="str">
        <x:v>Allocated</x:v>
      </x:c>
      <x:c r="E16" s="37" t="str">
        <x:v>Technical delivery</x:v>
      </x:c>
      <x:c r="F16" s="37" t="str">
        <x:v>Sample</x:v>
      </x:c>
    </x:row>
    <x:row r="17">
      <x:c r="A17" s="37" t="n">
        <x:v>2026</x:v>
      </x:c>
      <x:c r="B17" s="37" t="str">
        <x:v>D001</x:v>
      </x:c>
      <x:c r="C17" s="37" t="n">
        <x:v>39400000000</x:v>
      </x:c>
      <x:c r="D17" s="37" t="str">
        <x:v>Allocated</x:v>
      </x:c>
      <x:c r="E17" s="37" t="str">
        <x:v>Pipeline/Account ownership</x:v>
      </x:c>
      <x:c r="F17" s="37" t="str">
        <x:v>Sample 2026</x:v>
      </x:c>
    </x:row>
    <x:row r="18">
      <x:c r="A18" s="37" t="n">
        <x:v>2026</x:v>
      </x:c>
      <x:c r="B18" s="37" t="str">
        <x:v>D002</x:v>
      </x:c>
      <x:c r="C18" s="37" t="n">
        <x:v>34475000000</x:v>
      </x:c>
      <x:c r="D18" s="37" t="str">
        <x:v>Allocated</x:v>
      </x:c>
      <x:c r="E18" s="37" t="str">
        <x:v>Delivery ownership</x:v>
      </x:c>
      <x:c r="F18" s="37" t="str">
        <x:v>Sample 2026</x:v>
      </x:c>
    </x:row>
    <x:row r="19">
      <x:c r="A19" s="37" t="n">
        <x:v>2026</x:v>
      </x:c>
      <x:c r="B19" s="37" t="str">
        <x:v>D005</x:v>
      </x:c>
      <x:c r="C19" s="37" t="n">
        <x:v>24625000000</x:v>
      </x:c>
      <x:c r="D19" s="37" t="str">
        <x:v>Allocated</x:v>
      </x:c>
      <x:c r="E19" s="37" t="str">
        <x:v>Technical delivery</x:v>
      </x:c>
      <x:c r="F19" s="37" t="str">
        <x:v>Sample 2026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d8344550edd4646"/>
    <x:tablePart xmlns:r="http://schemas.openxmlformats.org/officeDocument/2006/relationships" r:id="R71d5c01898c441e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>
      <x:c r="A1" s="34" t="str">
        <x:v>Year</x:v>
      </x:c>
      <x:c r="B1" s="34" t="str">
        <x:v>Dept_ID</x:v>
      </x:c>
      <x:c r="C1" s="34" t="str">
        <x:v>Avg_Headcount</x:v>
      </x:c>
      <x:c r="D1" s="34" t="str">
        <x:v>Avg_FTE</x:v>
      </x:c>
      <x:c r="E1" s="34" t="str">
        <x:v>New_Hires</x:v>
      </x:c>
      <x:c r="F1" s="34" t="str">
        <x:v>Exits</x:v>
      </x:c>
      <x:c r="G1" s="34" t="str">
        <x:v>Notes</x:v>
      </x:c>
    </x:row>
    <x:row r="2">
      <x:c r="A2" s="37" t="n">
        <x:v>2021</x:v>
      </x:c>
      <x:c r="B2" s="37" t="str">
        <x:v>D001</x:v>
      </x:c>
      <x:c r="C2" s="37" t="n">
        <x:v>8</x:v>
      </x:c>
      <x:c r="D2" s="37" t="n">
        <x:v>8</x:v>
      </x:c>
      <x:c r="E2" s="37" t="n">
        <x:v>0</x:v>
      </x:c>
      <x:c r="F2" s="37" t="n">
        <x:v>0</x:v>
      </x:c>
      <x:c r="G2" s="37" t="str">
        <x:v>Sample</x:v>
      </x:c>
    </x:row>
    <x:row r="3">
      <x:c r="A3" s="37" t="n">
        <x:v>2021</x:v>
      </x:c>
      <x:c r="B3" s="37" t="str">
        <x:v>D002</x:v>
      </x:c>
      <x:c r="C3" s="37" t="n">
        <x:v>25</x:v>
      </x:c>
      <x:c r="D3" s="37" t="n">
        <x:v>25</x:v>
      </x:c>
      <x:c r="E3" s="37" t="n">
        <x:v>0</x:v>
      </x:c>
      <x:c r="F3" s="37" t="n">
        <x:v>0</x:v>
      </x:c>
      <x:c r="G3" s="37" t="str">
        <x:v>Sample</x:v>
      </x:c>
    </x:row>
    <x:row r="4">
      <x:c r="A4" s="37" t="n">
        <x:v>2021</x:v>
      </x:c>
      <x:c r="B4" s="37" t="str">
        <x:v>D003</x:v>
      </x:c>
      <x:c r="C4" s="37" t="n">
        <x:v>7</x:v>
      </x:c>
      <x:c r="D4" s="37" t="n">
        <x:v>7</x:v>
      </x:c>
      <x:c r="E4" s="37" t="n">
        <x:v>0</x:v>
      </x:c>
      <x:c r="F4" s="37" t="n">
        <x:v>0</x:v>
      </x:c>
      <x:c r="G4" s="37" t="str">
        <x:v>Sample</x:v>
      </x:c>
    </x:row>
    <x:row r="5">
      <x:c r="A5" s="37" t="n">
        <x:v>2021</x:v>
      </x:c>
      <x:c r="B5" s="37" t="str">
        <x:v>D004</x:v>
      </x:c>
      <x:c r="C5" s="37" t="n">
        <x:v>5</x:v>
      </x:c>
      <x:c r="D5" s="37" t="n">
        <x:v>5</x:v>
      </x:c>
      <x:c r="E5" s="37" t="n">
        <x:v>0</x:v>
      </x:c>
      <x:c r="F5" s="37" t="n">
        <x:v>0</x:v>
      </x:c>
      <x:c r="G5" s="37" t="str">
        <x:v>Sample</x:v>
      </x:c>
    </x:row>
    <x:row r="6">
      <x:c r="A6" s="37" t="n">
        <x:v>2021</x:v>
      </x:c>
      <x:c r="B6" s="37" t="str">
        <x:v>D005</x:v>
      </x:c>
      <x:c r="C6" s="37" t="n">
        <x:v>14</x:v>
      </x:c>
      <x:c r="D6" s="37" t="n">
        <x:v>14</x:v>
      </x:c>
      <x:c r="E6" s="37" t="n">
        <x:v>0</x:v>
      </x:c>
      <x:c r="F6" s="37" t="n">
        <x:v>0</x:v>
      </x:c>
      <x:c r="G6" s="37" t="str">
        <x:v>Sample</x:v>
      </x:c>
    </x:row>
    <x:row r="7">
      <x:c r="A7" s="37" t="n">
        <x:v>2021</x:v>
      </x:c>
      <x:c r="B7" s="37" t="str">
        <x:v>D006</x:v>
      </x:c>
      <x:c r="C7" s="37" t="n">
        <x:v>5</x:v>
      </x:c>
      <x:c r="D7" s="37" t="n">
        <x:v>5</x:v>
      </x:c>
      <x:c r="E7" s="37" t="n">
        <x:v>0</x:v>
      </x:c>
      <x:c r="F7" s="37" t="n">
        <x:v>0</x:v>
      </x:c>
      <x:c r="G7" s="37" t="str">
        <x:v>Sample</x:v>
      </x:c>
    </x:row>
    <x:row r="8">
      <x:c r="A8" s="37" t="n">
        <x:v>2022</x:v>
      </x:c>
      <x:c r="B8" s="37" t="str">
        <x:v>D001</x:v>
      </x:c>
      <x:c r="C8" s="37" t="n">
        <x:v>8</x:v>
      </x:c>
      <x:c r="D8" s="37" t="n">
        <x:v>8</x:v>
      </x:c>
      <x:c r="E8" s="37" t="n">
        <x:v>0</x:v>
      </x:c>
      <x:c r="F8" s="37" t="n">
        <x:v>0</x:v>
      </x:c>
      <x:c r="G8" s="37" t="str">
        <x:v>Sample</x:v>
      </x:c>
    </x:row>
    <x:row r="9">
      <x:c r="A9" s="37" t="n">
        <x:v>2022</x:v>
      </x:c>
      <x:c r="B9" s="37" t="str">
        <x:v>D002</x:v>
      </x:c>
      <x:c r="C9" s="37" t="n">
        <x:v>27</x:v>
      </x:c>
      <x:c r="D9" s="37" t="n">
        <x:v>27</x:v>
      </x:c>
      <x:c r="E9" s="37" t="n">
        <x:v>0</x:v>
      </x:c>
      <x:c r="F9" s="37" t="n">
        <x:v>0</x:v>
      </x:c>
      <x:c r="G9" s="37" t="str">
        <x:v>Sample</x:v>
      </x:c>
    </x:row>
    <x:row r="10">
      <x:c r="A10" s="37" t="n">
        <x:v>2022</x:v>
      </x:c>
      <x:c r="B10" s="37" t="str">
        <x:v>D003</x:v>
      </x:c>
      <x:c r="C10" s="37" t="n">
        <x:v>7</x:v>
      </x:c>
      <x:c r="D10" s="37" t="n">
        <x:v>7</x:v>
      </x:c>
      <x:c r="E10" s="37" t="n">
        <x:v>0</x:v>
      </x:c>
      <x:c r="F10" s="37" t="n">
        <x:v>0</x:v>
      </x:c>
      <x:c r="G10" s="37" t="str">
        <x:v>Sample</x:v>
      </x:c>
    </x:row>
    <x:row r="11">
      <x:c r="A11" s="37" t="n">
        <x:v>2022</x:v>
      </x:c>
      <x:c r="B11" s="37" t="str">
        <x:v>D004</x:v>
      </x:c>
      <x:c r="C11" s="37" t="n">
        <x:v>5</x:v>
      </x:c>
      <x:c r="D11" s="37" t="n">
        <x:v>5</x:v>
      </x:c>
      <x:c r="E11" s="37" t="n">
        <x:v>0</x:v>
      </x:c>
      <x:c r="F11" s="37" t="n">
        <x:v>0</x:v>
      </x:c>
      <x:c r="G11" s="37" t="str">
        <x:v>Sample</x:v>
      </x:c>
    </x:row>
    <x:row r="12">
      <x:c r="A12" s="37" t="n">
        <x:v>2022</x:v>
      </x:c>
      <x:c r="B12" s="37" t="str">
        <x:v>D005</x:v>
      </x:c>
      <x:c r="C12" s="37" t="n">
        <x:v>14</x:v>
      </x:c>
      <x:c r="D12" s="37" t="n">
        <x:v>14</x:v>
      </x:c>
      <x:c r="E12" s="37" t="n">
        <x:v>0</x:v>
      </x:c>
      <x:c r="F12" s="37" t="n">
        <x:v>0</x:v>
      </x:c>
      <x:c r="G12" s="37" t="str">
        <x:v>Sample</x:v>
      </x:c>
    </x:row>
    <x:row r="13">
      <x:c r="A13" s="37" t="n">
        <x:v>2022</x:v>
      </x:c>
      <x:c r="B13" s="37" t="str">
        <x:v>D006</x:v>
      </x:c>
      <x:c r="C13" s="37" t="n">
        <x:v>5</x:v>
      </x:c>
      <x:c r="D13" s="37" t="n">
        <x:v>5</x:v>
      </x:c>
      <x:c r="E13" s="37" t="n">
        <x:v>0</x:v>
      </x:c>
      <x:c r="F13" s="37" t="n">
        <x:v>0</x:v>
      </x:c>
      <x:c r="G13" s="37" t="str">
        <x:v>Sample</x:v>
      </x:c>
    </x:row>
    <x:row r="14">
      <x:c r="A14" s="37" t="n">
        <x:v>2023</x:v>
      </x:c>
      <x:c r="B14" s="37" t="str">
        <x:v>D001</x:v>
      </x:c>
      <x:c r="C14" s="37" t="n">
        <x:v>8</x:v>
      </x:c>
      <x:c r="D14" s="37" t="n">
        <x:v>8</x:v>
      </x:c>
      <x:c r="E14" s="37" t="n">
        <x:v>0</x:v>
      </x:c>
      <x:c r="F14" s="37" t="n">
        <x:v>0</x:v>
      </x:c>
      <x:c r="G14" s="37" t="str">
        <x:v>Sample</x:v>
      </x:c>
    </x:row>
    <x:row r="15">
      <x:c r="A15" s="37" t="n">
        <x:v>2023</x:v>
      </x:c>
      <x:c r="B15" s="37" t="str">
        <x:v>D002</x:v>
      </x:c>
      <x:c r="C15" s="37" t="n">
        <x:v>30</x:v>
      </x:c>
      <x:c r="D15" s="37" t="n">
        <x:v>30</x:v>
      </x:c>
      <x:c r="E15" s="37" t="n">
        <x:v>0</x:v>
      </x:c>
      <x:c r="F15" s="37" t="n">
        <x:v>0</x:v>
      </x:c>
      <x:c r="G15" s="37" t="str">
        <x:v>Sample</x:v>
      </x:c>
    </x:row>
    <x:row r="16">
      <x:c r="A16" s="37" t="n">
        <x:v>2023</x:v>
      </x:c>
      <x:c r="B16" s="37" t="str">
        <x:v>D003</x:v>
      </x:c>
      <x:c r="C16" s="37" t="n">
        <x:v>8</x:v>
      </x:c>
      <x:c r="D16" s="37" t="n">
        <x:v>8</x:v>
      </x:c>
      <x:c r="E16" s="37" t="n">
        <x:v>0</x:v>
      </x:c>
      <x:c r="F16" s="37" t="n">
        <x:v>0</x:v>
      </x:c>
      <x:c r="G16" s="37" t="str">
        <x:v>Sample</x:v>
      </x:c>
    </x:row>
    <x:row r="17">
      <x:c r="A17" s="37" t="n">
        <x:v>2023</x:v>
      </x:c>
      <x:c r="B17" s="37" t="str">
        <x:v>D004</x:v>
      </x:c>
      <x:c r="C17" s="37" t="n">
        <x:v>5</x:v>
      </x:c>
      <x:c r="D17" s="37" t="n">
        <x:v>5</x:v>
      </x:c>
      <x:c r="E17" s="37" t="n">
        <x:v>0</x:v>
      </x:c>
      <x:c r="F17" s="37" t="n">
        <x:v>0</x:v>
      </x:c>
      <x:c r="G17" s="37" t="str">
        <x:v>Sample</x:v>
      </x:c>
    </x:row>
    <x:row r="18">
      <x:c r="A18" s="37" t="n">
        <x:v>2023</x:v>
      </x:c>
      <x:c r="B18" s="37" t="str">
        <x:v>D005</x:v>
      </x:c>
      <x:c r="C18" s="37" t="n">
        <x:v>15</x:v>
      </x:c>
      <x:c r="D18" s="37" t="n">
        <x:v>15</x:v>
      </x:c>
      <x:c r="E18" s="37" t="n">
        <x:v>0</x:v>
      </x:c>
      <x:c r="F18" s="37" t="n">
        <x:v>0</x:v>
      </x:c>
      <x:c r="G18" s="37" t="str">
        <x:v>Sample</x:v>
      </x:c>
    </x:row>
    <x:row r="19">
      <x:c r="A19" s="37" t="n">
        <x:v>2023</x:v>
      </x:c>
      <x:c r="B19" s="37" t="str">
        <x:v>D006</x:v>
      </x:c>
      <x:c r="C19" s="37" t="n">
        <x:v>5</x:v>
      </x:c>
      <x:c r="D19" s="37" t="n">
        <x:v>5</x:v>
      </x:c>
      <x:c r="E19" s="37" t="n">
        <x:v>0</x:v>
      </x:c>
      <x:c r="F19" s="37" t="n">
        <x:v>0</x:v>
      </x:c>
      <x:c r="G19" s="37" t="str">
        <x:v>Sample</x:v>
      </x:c>
    </x:row>
    <x:row r="20">
      <x:c r="A20" s="37" t="n">
        <x:v>2024</x:v>
      </x:c>
      <x:c r="B20" s="37" t="str">
        <x:v>D001</x:v>
      </x:c>
      <x:c r="C20" s="37" t="n">
        <x:v>9</x:v>
      </x:c>
      <x:c r="D20" s="37" t="n">
        <x:v>9</x:v>
      </x:c>
      <x:c r="E20" s="37" t="n">
        <x:v>0</x:v>
      </x:c>
      <x:c r="F20" s="37" t="n">
        <x:v>0</x:v>
      </x:c>
      <x:c r="G20" s="37" t="str">
        <x:v>Sample</x:v>
      </x:c>
    </x:row>
    <x:row r="21">
      <x:c r="A21" s="37" t="n">
        <x:v>2024</x:v>
      </x:c>
      <x:c r="B21" s="37" t="str">
        <x:v>D002</x:v>
      </x:c>
      <x:c r="C21" s="37" t="n">
        <x:v>37</x:v>
      </x:c>
      <x:c r="D21" s="37" t="n">
        <x:v>37</x:v>
      </x:c>
      <x:c r="E21" s="37" t="n">
        <x:v>0</x:v>
      </x:c>
      <x:c r="F21" s="37" t="n">
        <x:v>0</x:v>
      </x:c>
      <x:c r="G21" s="37" t="str">
        <x:v>Sample</x:v>
      </x:c>
    </x:row>
    <x:row r="22">
      <x:c r="A22" s="37" t="n">
        <x:v>2024</x:v>
      </x:c>
      <x:c r="B22" s="37" t="str">
        <x:v>D003</x:v>
      </x:c>
      <x:c r="C22" s="37" t="n">
        <x:v>13</x:v>
      </x:c>
      <x:c r="D22" s="37" t="n">
        <x:v>13</x:v>
      </x:c>
      <x:c r="E22" s="37" t="n">
        <x:v>0</x:v>
      </x:c>
      <x:c r="F22" s="37" t="n">
        <x:v>0</x:v>
      </x:c>
      <x:c r="G22" s="37" t="str">
        <x:v>Sample</x:v>
      </x:c>
    </x:row>
    <x:row r="23">
      <x:c r="A23" s="37" t="n">
        <x:v>2024</x:v>
      </x:c>
      <x:c r="B23" s="37" t="str">
        <x:v>D004</x:v>
      </x:c>
      <x:c r="C23" s="37" t="n">
        <x:v>7</x:v>
      </x:c>
      <x:c r="D23" s="37" t="n">
        <x:v>7</x:v>
      </x:c>
      <x:c r="E23" s="37" t="n">
        <x:v>0</x:v>
      </x:c>
      <x:c r="F23" s="37" t="n">
        <x:v>0</x:v>
      </x:c>
      <x:c r="G23" s="37" t="str">
        <x:v>Sample</x:v>
      </x:c>
    </x:row>
    <x:row r="24">
      <x:c r="A24" s="37" t="n">
        <x:v>2024</x:v>
      </x:c>
      <x:c r="B24" s="37" t="str">
        <x:v>D005</x:v>
      </x:c>
      <x:c r="C24" s="37" t="n">
        <x:v>17</x:v>
      </x:c>
      <x:c r="D24" s="37" t="n">
        <x:v>17</x:v>
      </x:c>
      <x:c r="E24" s="37" t="n">
        <x:v>0</x:v>
      </x:c>
      <x:c r="F24" s="37" t="n">
        <x:v>0</x:v>
      </x:c>
      <x:c r="G24" s="37" t="str">
        <x:v>Sample</x:v>
      </x:c>
    </x:row>
    <x:row r="25">
      <x:c r="A25" s="37" t="n">
        <x:v>2024</x:v>
      </x:c>
      <x:c r="B25" s="37" t="str">
        <x:v>D006</x:v>
      </x:c>
      <x:c r="C25" s="37" t="n">
        <x:v>5</x:v>
      </x:c>
      <x:c r="D25" s="37" t="n">
        <x:v>5</x:v>
      </x:c>
      <x:c r="E25" s="37" t="n">
        <x:v>0</x:v>
      </x:c>
      <x:c r="F25" s="37" t="n">
        <x:v>0</x:v>
      </x:c>
      <x:c r="G25" s="37" t="str">
        <x:v>Sample</x:v>
      </x:c>
    </x:row>
    <x:row r="26">
      <x:c r="A26" s="37" t="n">
        <x:v>2025</x:v>
      </x:c>
      <x:c r="B26" s="37" t="str">
        <x:v>D001</x:v>
      </x:c>
      <x:c r="C26" s="37" t="n">
        <x:v>9</x:v>
      </x:c>
      <x:c r="D26" s="37" t="n">
        <x:v>9</x:v>
      </x:c>
      <x:c r="E26" s="37" t="n">
        <x:v>0</x:v>
      </x:c>
      <x:c r="F26" s="37" t="n">
        <x:v>0</x:v>
      </x:c>
      <x:c r="G26" s="37" t="str">
        <x:v>Sample</x:v>
      </x:c>
    </x:row>
    <x:row r="27">
      <x:c r="A27" s="37" t="n">
        <x:v>2025</x:v>
      </x:c>
      <x:c r="B27" s="37" t="str">
        <x:v>D002</x:v>
      </x:c>
      <x:c r="C27" s="37" t="n">
        <x:v>29</x:v>
      </x:c>
      <x:c r="D27" s="37" t="n">
        <x:v>29</x:v>
      </x:c>
      <x:c r="E27" s="37" t="n">
        <x:v>1</x:v>
      </x:c>
      <x:c r="F27" s="37" t="n">
        <x:v>0</x:v>
      </x:c>
      <x:c r="G27" s="37" t="str">
        <x:v>Sample</x:v>
      </x:c>
    </x:row>
    <x:row r="28">
      <x:c r="A28" s="37" t="n">
        <x:v>2025</x:v>
      </x:c>
      <x:c r="B28" s="37" t="str">
        <x:v>D003</x:v>
      </x:c>
      <x:c r="C28" s="37" t="n">
        <x:v>9</x:v>
      </x:c>
      <x:c r="D28" s="37" t="n">
        <x:v>9</x:v>
      </x:c>
      <x:c r="E28" s="37" t="n">
        <x:v>0</x:v>
      </x:c>
      <x:c r="F28" s="37" t="n">
        <x:v>0</x:v>
      </x:c>
      <x:c r="G28" s="37" t="str">
        <x:v>Sample</x:v>
      </x:c>
    </x:row>
    <x:row r="29">
      <x:c r="A29" s="37" t="n">
        <x:v>2025</x:v>
      </x:c>
      <x:c r="B29" s="37" t="str">
        <x:v>D004</x:v>
      </x:c>
      <x:c r="C29" s="37" t="n">
        <x:v>6</x:v>
      </x:c>
      <x:c r="D29" s="37" t="n">
        <x:v>6</x:v>
      </x:c>
      <x:c r="E29" s="37" t="n">
        <x:v>0</x:v>
      </x:c>
      <x:c r="F29" s="37" t="n">
        <x:v>0</x:v>
      </x:c>
      <x:c r="G29" s="37" t="str">
        <x:v>Sample</x:v>
      </x:c>
    </x:row>
    <x:row r="30">
      <x:c r="A30" s="37" t="n">
        <x:v>2025</x:v>
      </x:c>
      <x:c r="B30" s="37" t="str">
        <x:v>D005</x:v>
      </x:c>
      <x:c r="C30" s="37" t="n">
        <x:v>9</x:v>
      </x:c>
      <x:c r="D30" s="37" t="n">
        <x:v>9</x:v>
      </x:c>
      <x:c r="E30" s="37" t="n">
        <x:v>1</x:v>
      </x:c>
      <x:c r="F30" s="37" t="n">
        <x:v>0</x:v>
      </x:c>
      <x:c r="G30" s="37" t="str">
        <x:v>Sample</x:v>
      </x:c>
    </x:row>
    <x:row r="31">
      <x:c r="A31" s="37" t="n">
        <x:v>2026</x:v>
      </x:c>
      <x:c r="B31" s="37" t="str">
        <x:v>D001</x:v>
      </x:c>
      <x:c r="C31" s="37" t="n">
        <x:v>10</x:v>
      </x:c>
      <x:c r="D31" s="37" t="n">
        <x:v>10</x:v>
      </x:c>
      <x:c r="E31" s="37" t="n">
        <x:v>1</x:v>
      </x:c>
      <x:c r="F31" s="37" t="n">
        <x:v>0</x:v>
      </x:c>
      <x:c r="G31" s="37" t="str">
        <x:v>Sample 2026</x:v>
      </x:c>
    </x:row>
    <x:row r="32">
      <x:c r="A32" s="37" t="n">
        <x:v>2026</x:v>
      </x:c>
      <x:c r="B32" s="37" t="str">
        <x:v>D002</x:v>
      </x:c>
      <x:c r="C32" s="37" t="n">
        <x:v>31</x:v>
      </x:c>
      <x:c r="D32" s="37" t="n">
        <x:v>31</x:v>
      </x:c>
      <x:c r="E32" s="37" t="n">
        <x:v>2</x:v>
      </x:c>
      <x:c r="F32" s="37" t="n">
        <x:v>0</x:v>
      </x:c>
      <x:c r="G32" s="37" t="str">
        <x:v>Sample 2026</x:v>
      </x:c>
    </x:row>
    <x:row r="33">
      <x:c r="A33" s="37" t="n">
        <x:v>2026</x:v>
      </x:c>
      <x:c r="B33" s="37" t="str">
        <x:v>D003</x:v>
      </x:c>
      <x:c r="C33" s="37" t="n">
        <x:v>9</x:v>
      </x:c>
      <x:c r="D33" s="37" t="n">
        <x:v>9</x:v>
      </x:c>
      <x:c r="E33" s="37" t="n">
        <x:v>0</x:v>
      </x:c>
      <x:c r="F33" s="37" t="n">
        <x:v>0</x:v>
      </x:c>
      <x:c r="G33" s="37" t="str">
        <x:v>Sample 2026</x:v>
      </x:c>
    </x:row>
    <x:row r="34">
      <x:c r="A34" s="37" t="n">
        <x:v>2026</x:v>
      </x:c>
      <x:c r="B34" s="37" t="str">
        <x:v>D004</x:v>
      </x:c>
      <x:c r="C34" s="37" t="n">
        <x:v>6</x:v>
      </x:c>
      <x:c r="D34" s="37" t="n">
        <x:v>6</x:v>
      </x:c>
      <x:c r="E34" s="37" t="n">
        <x:v>0</x:v>
      </x:c>
      <x:c r="F34" s="37" t="n">
        <x:v>0</x:v>
      </x:c>
      <x:c r="G34" s="37" t="str">
        <x:v>Sample 2026</x:v>
      </x:c>
    </x:row>
    <x:row r="35">
      <x:c r="A35" s="37" t="n">
        <x:v>2026</x:v>
      </x:c>
      <x:c r="B35" s="37" t="str">
        <x:v>D005</x:v>
      </x:c>
      <x:c r="C35" s="37" t="n">
        <x:v>10</x:v>
      </x:c>
      <x:c r="D35" s="37" t="n">
        <x:v>10</x:v>
      </x:c>
      <x:c r="E35" s="37" t="n">
        <x:v>1</x:v>
      </x:c>
      <x:c r="F35" s="37" t="n">
        <x:v>0</x:v>
      </x:c>
      <x:c r="G35" s="37" t="str">
        <x:v>Sample 2026</x:v>
      </x:c>
    </x:row>
    <x:row r="36">
      <x:c r="A36" s="37" t="n">
        <x:v>2026</x:v>
      </x:c>
      <x:c r="B36" s="37" t="str">
        <x:v>D006</x:v>
      </x:c>
      <x:c r="C36" s="37" t="n">
        <x:v>5</x:v>
      </x:c>
      <x:c r="D36" s="37" t="n">
        <x:v>5</x:v>
      </x:c>
      <x:c r="E36" s="37" t="n">
        <x:v>0</x:v>
      </x:c>
      <x:c r="F36" s="37" t="n">
        <x:v>0</x:v>
      </x:c>
      <x:c r="G36" s="37" t="str">
        <x:v>Sample 2026</x:v>
      </x:c>
    </x:row>
  </x:sheetData>
  <x:pageMargins left="0.7" right="0.7" top="0.75" bottom="0.75" header="0.3" footer="0.3"/>
  <x:tableParts count="2">
    <x:tablePart xmlns:r="http://schemas.openxmlformats.org/officeDocument/2006/relationships" r:id="R08021ad114b944e6"/>
    <x:tablePart xmlns:r="http://schemas.openxmlformats.org/officeDocument/2006/relationships" r:id="R7d7878551bed457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</x:cols>
  <x:sheetData>
    <x:row r="1">
      <x:c r="A1" s="34" t="str">
        <x:v>Year</x:v>
      </x:c>
      <x:c r="B1" s="34" t="str">
        <x:v>Dept_ID</x:v>
      </x:c>
      <x:c r="C1" s="35" t="str">
        <x:v>Payroll_Gross</x:v>
      </x:c>
      <x:c r="D1" s="35" t="str">
        <x:v>Overtime</x:v>
      </x:c>
      <x:c r="E1" s="35" t="str">
        <x:v>Bonus</x:v>
      </x:c>
      <x:c r="F1" s="35" t="str">
        <x:v>Benefits</x:v>
      </x:c>
      <x:c r="G1" s="35" t="str">
        <x:v>Employer_Tax</x:v>
      </x:c>
      <x:c r="H1" s="35" t="str">
        <x:v>Total_Manpower_Cost</x:v>
      </x:c>
      <x:c r="I1" s="34" t="str">
        <x:v>Payment_Type</x:v>
      </x:c>
      <x:c r="J1" s="34" t="str">
        <x:v>Notes</x:v>
      </x:c>
    </x:row>
    <x:row r="2">
      <x:c r="A2" s="37" t="n">
        <x:v>2021</x:v>
      </x:c>
      <x:c r="B2" s="37" t="str">
        <x:v>D001</x:v>
      </x:c>
      <x:c r="C2" s="37" t="n">
        <x:v>540023600</x:v>
      </x:c>
      <x:c r="D2" s="37" t="n">
        <x:v>26342615</x:v>
      </x:c>
      <x:c r="E2" s="37" t="n">
        <x:v>39513922</x:v>
      </x:c>
      <x:c r="F2" s="37" t="n">
        <x:v>32928268</x:v>
      </x:c>
      <x:c r="G2" s="37" t="n">
        <x:v>19756961</x:v>
      </x:c>
      <x:c r="H2" s="37" t="n">
        <x:v>658565366</x:v>
      </x:c>
      <x:c r="I2" s="37" t="str">
        <x:v>Payroll</x:v>
      </x:c>
      <x:c r="J2" s="37" t="str">
        <x:v>Sample</x:v>
      </x:c>
    </x:row>
    <x:row r="3">
      <x:c r="A3" s="37" t="n">
        <x:v>2021</x:v>
      </x:c>
      <x:c r="B3" s="37" t="str">
        <x:v>D002</x:v>
      </x:c>
      <x:c r="C3" s="37" t="n">
        <x:v>1282480000</x:v>
      </x:c>
      <x:c r="D3" s="37" t="n">
        <x:v>62560000</x:v>
      </x:c>
      <x:c r="E3" s="37" t="n">
        <x:v>93840000</x:v>
      </x:c>
      <x:c r="F3" s="37" t="n">
        <x:v>78200000</x:v>
      </x:c>
      <x:c r="G3" s="37" t="n">
        <x:v>46920000</x:v>
      </x:c>
      <x:c r="H3" s="37" t="n">
        <x:v>1564000000</x:v>
      </x:c>
      <x:c r="I3" s="37" t="str">
        <x:v>Payroll</x:v>
      </x:c>
      <x:c r="J3" s="37" t="str">
        <x:v>Sample</x:v>
      </x:c>
    </x:row>
    <x:row r="4">
      <x:c r="A4" s="37" t="n">
        <x:v>2021</x:v>
      </x:c>
      <x:c r="B4" s="37" t="str">
        <x:v>D003</x:v>
      </x:c>
      <x:c r="C4" s="37" t="n">
        <x:v>283884130</x:v>
      </x:c>
      <x:c r="D4" s="37" t="n">
        <x:v>13848006</x:v>
      </x:c>
      <x:c r="E4" s="37" t="n">
        <x:v>20772009</x:v>
      </x:c>
      <x:c r="F4" s="37" t="n">
        <x:v>17310008</x:v>
      </x:c>
      <x:c r="G4" s="37" t="n">
        <x:v>10386005</x:v>
      </x:c>
      <x:c r="H4" s="37" t="n">
        <x:v>346200158</x:v>
      </x:c>
      <x:c r="I4" s="37" t="str">
        <x:v>Payroll</x:v>
      </x:c>
      <x:c r="J4" s="37" t="str">
        <x:v>Sample</x:v>
      </x:c>
    </x:row>
    <x:row r="5">
      <x:c r="A5" s="37" t="n">
        <x:v>2021</x:v>
      </x:c>
      <x:c r="B5" s="37" t="str">
        <x:v>D004</x:v>
      </x:c>
      <x:c r="C5" s="37" t="n">
        <x:v>228547260</x:v>
      </x:c>
      <x:c r="D5" s="37" t="n">
        <x:v>11148647</x:v>
      </x:c>
      <x:c r="E5" s="37" t="n">
        <x:v>16722970</x:v>
      </x:c>
      <x:c r="F5" s="37" t="n">
        <x:v>13935809</x:v>
      </x:c>
      <x:c r="G5" s="37" t="n">
        <x:v>8361485</x:v>
      </x:c>
      <x:c r="H5" s="37" t="n">
        <x:v>278716171</x:v>
      </x:c>
      <x:c r="I5" s="37" t="str">
        <x:v>Payroll</x:v>
      </x:c>
      <x:c r="J5" s="37" t="str">
        <x:v>Sample</x:v>
      </x:c>
    </x:row>
    <x:row r="6">
      <x:c r="A6" s="37" t="n">
        <x:v>2021</x:v>
      </x:c>
      <x:c r="B6" s="37" t="str">
        <x:v>D005</x:v>
      </x:c>
      <x:c r="C6" s="37" t="n">
        <x:v>554135015</x:v>
      </x:c>
      <x:c r="D6" s="37" t="n">
        <x:v>27030976</x:v>
      </x:c>
      <x:c r="E6" s="37" t="n">
        <x:v>40546464</x:v>
      </x:c>
      <x:c r="F6" s="37" t="n">
        <x:v>33788720</x:v>
      </x:c>
      <x:c r="G6" s="37" t="n">
        <x:v>20273233</x:v>
      </x:c>
      <x:c r="H6" s="37" t="n">
        <x:v>675774408</x:v>
      </x:c>
      <x:c r="I6" s="37" t="str">
        <x:v>Payroll</x:v>
      </x:c>
      <x:c r="J6" s="37" t="str">
        <x:v>Sample</x:v>
      </x:c>
    </x:row>
    <x:row r="7">
      <x:c r="A7" s="37" t="n">
        <x:v>2021</x:v>
      </x:c>
      <x:c r="B7" s="37" t="str">
        <x:v>D006</x:v>
      </x:c>
      <x:c r="C7" s="37" t="n">
        <x:v>308328772</x:v>
      </x:c>
      <x:c r="D7" s="37" t="n">
        <x:v>15040428</x:v>
      </x:c>
      <x:c r="E7" s="37" t="n">
        <x:v>22560642</x:v>
      </x:c>
      <x:c r="F7" s="37" t="n">
        <x:v>18800535</x:v>
      </x:c>
      <x:c r="G7" s="37" t="n">
        <x:v>11280321</x:v>
      </x:c>
      <x:c r="H7" s="37" t="n">
        <x:v>376010698</x:v>
      </x:c>
      <x:c r="I7" s="37" t="str">
        <x:v>Payroll</x:v>
      </x:c>
      <x:c r="J7" s="37" t="str">
        <x:v>Sample</x:v>
      </x:c>
    </x:row>
    <x:row r="8">
      <x:c r="A8" s="37" t="n">
        <x:v>2022</x:v>
      </x:c>
      <x:c r="B8" s="37" t="str">
        <x:v>D001</x:v>
      </x:c>
      <x:c r="C8" s="37" t="n">
        <x:v>557633066</x:v>
      </x:c>
      <x:c r="D8" s="37" t="n">
        <x:v>27201613</x:v>
      </x:c>
      <x:c r="E8" s="37" t="n">
        <x:v>40802419</x:v>
      </x:c>
      <x:c r="F8" s="37" t="n">
        <x:v>34002016</x:v>
      </x:c>
      <x:c r="G8" s="37" t="n">
        <x:v>20401210</x:v>
      </x:c>
      <x:c r="H8" s="37" t="n">
        <x:v>680040324</x:v>
      </x:c>
      <x:c r="I8" s="37" t="str">
        <x:v>Payroll</x:v>
      </x:c>
      <x:c r="J8" s="37" t="str">
        <x:v>Sample</x:v>
      </x:c>
    </x:row>
    <x:row r="9">
      <x:c r="A9" s="37" t="n">
        <x:v>2022</x:v>
      </x:c>
      <x:c r="B9" s="37" t="str">
        <x:v>D002</x:v>
      </x:c>
      <x:c r="C9" s="37" t="n">
        <x:v>1324300000</x:v>
      </x:c>
      <x:c r="D9" s="37" t="n">
        <x:v>64600000</x:v>
      </x:c>
      <x:c r="E9" s="37" t="n">
        <x:v>96900000</x:v>
      </x:c>
      <x:c r="F9" s="37" t="n">
        <x:v>80750000</x:v>
      </x:c>
      <x:c r="G9" s="37" t="n">
        <x:v>48450000</x:v>
      </x:c>
      <x:c r="H9" s="37" t="n">
        <x:v>1615000000</x:v>
      </x:c>
      <x:c r="I9" s="37" t="str">
        <x:v>Payroll</x:v>
      </x:c>
      <x:c r="J9" s="37" t="str">
        <x:v>Sample</x:v>
      </x:c>
    </x:row>
    <x:row r="10">
      <x:c r="A10" s="37" t="n">
        <x:v>2022</x:v>
      </x:c>
      <x:c r="B10" s="37" t="str">
        <x:v>D003</x:v>
      </x:c>
      <x:c r="C10" s="37" t="n">
        <x:v>293141221</x:v>
      </x:c>
      <x:c r="D10" s="37" t="n">
        <x:v>14299572</x:v>
      </x:c>
      <x:c r="E10" s="37" t="n">
        <x:v>21449358</x:v>
      </x:c>
      <x:c r="F10" s="37" t="n">
        <x:v>17874465</x:v>
      </x:c>
      <x:c r="G10" s="37" t="n">
        <x:v>10724678</x:v>
      </x:c>
      <x:c r="H10" s="37" t="n">
        <x:v>357489294</x:v>
      </x:c>
      <x:c r="I10" s="37" t="str">
        <x:v>Payroll</x:v>
      </x:c>
      <x:c r="J10" s="37" t="str">
        <x:v>Sample</x:v>
      </x:c>
    </x:row>
    <x:row r="11">
      <x:c r="A11" s="37" t="n">
        <x:v>2022</x:v>
      </x:c>
      <x:c r="B11" s="37" t="str">
        <x:v>D004</x:v>
      </x:c>
      <x:c r="C11" s="37" t="n">
        <x:v>235999888</x:v>
      </x:c>
      <x:c r="D11" s="37" t="n">
        <x:v>11512190</x:v>
      </x:c>
      <x:c r="E11" s="37" t="n">
        <x:v>17268285</x:v>
      </x:c>
      <x:c r="F11" s="37" t="n">
        <x:v>14390237</x:v>
      </x:c>
      <x:c r="G11" s="37" t="n">
        <x:v>8634142</x:v>
      </x:c>
      <x:c r="H11" s="37" t="n">
        <x:v>287804742</x:v>
      </x:c>
      <x:c r="I11" s="37" t="str">
        <x:v>Payroll</x:v>
      </x:c>
      <x:c r="J11" s="37" t="str">
        <x:v>Sample</x:v>
      </x:c>
    </x:row>
    <x:row r="12">
      <x:c r="A12" s="37" t="n">
        <x:v>2022</x:v>
      </x:c>
      <x:c r="B12" s="37" t="str">
        <x:v>D005</x:v>
      </x:c>
      <x:c r="C12" s="37" t="n">
        <x:v>572204635</x:v>
      </x:c>
      <x:c r="D12" s="37" t="n">
        <x:v>27912421</x:v>
      </x:c>
      <x:c r="E12" s="37" t="n">
        <x:v>41868632</x:v>
      </x:c>
      <x:c r="F12" s="37" t="n">
        <x:v>34890526</x:v>
      </x:c>
      <x:c r="G12" s="37" t="n">
        <x:v>20934316</x:v>
      </x:c>
      <x:c r="H12" s="37" t="n">
        <x:v>697810530</x:v>
      </x:c>
      <x:c r="I12" s="37" t="str">
        <x:v>Payroll</x:v>
      </x:c>
      <x:c r="J12" s="37" t="str">
        <x:v>Sample</x:v>
      </x:c>
    </x:row>
    <x:row r="13">
      <x:c r="A13" s="37" t="n">
        <x:v>2022</x:v>
      </x:c>
      <x:c r="B13" s="37" t="str">
        <x:v>D006</x:v>
      </x:c>
      <x:c r="C13" s="37" t="n">
        <x:v>318382971</x:v>
      </x:c>
      <x:c r="D13" s="37" t="n">
        <x:v>15530877</x:v>
      </x:c>
      <x:c r="E13" s="37" t="n">
        <x:v>23296315</x:v>
      </x:c>
      <x:c r="F13" s="37" t="n">
        <x:v>19413596</x:v>
      </x:c>
      <x:c r="G13" s="37" t="n">
        <x:v>11648157</x:v>
      </x:c>
      <x:c r="H13" s="37" t="n">
        <x:v>388271916</x:v>
      </x:c>
      <x:c r="I13" s="37" t="str">
        <x:v>Payroll</x:v>
      </x:c>
      <x:c r="J13" s="37" t="str">
        <x:v>Sample</x:v>
      </x:c>
    </x:row>
    <x:row r="14">
      <x:c r="A14" s="37" t="n">
        <x:v>2023</x:v>
      </x:c>
      <x:c r="B14" s="37" t="str">
        <x:v>D001</x:v>
      </x:c>
      <x:c r="C14" s="37" t="n">
        <x:v>586982174</x:v>
      </x:c>
      <x:c r="D14" s="37" t="n">
        <x:v>28633277</x:v>
      </x:c>
      <x:c r="E14" s="37" t="n">
        <x:v>42949915</x:v>
      </x:c>
      <x:c r="F14" s="37" t="n">
        <x:v>35791596</x:v>
      </x:c>
      <x:c r="G14" s="37" t="n">
        <x:v>21474958</x:v>
      </x:c>
      <x:c r="H14" s="37" t="n">
        <x:v>715831920</x:v>
      </x:c>
      <x:c r="I14" s="37" t="str">
        <x:v>Payroll</x:v>
      </x:c>
      <x:c r="J14" s="37" t="str">
        <x:v>Sample</x:v>
      </x:c>
    </x:row>
    <x:row r="15">
      <x:c r="A15" s="37" t="n">
        <x:v>2023</x:v>
      </x:c>
      <x:c r="B15" s="37" t="str">
        <x:v>D002</x:v>
      </x:c>
      <x:c r="C15" s="37" t="n">
        <x:v>1394000000</x:v>
      </x:c>
      <x:c r="D15" s="37" t="n">
        <x:v>68000000</x:v>
      </x:c>
      <x:c r="E15" s="37" t="n">
        <x:v>102000000</x:v>
      </x:c>
      <x:c r="F15" s="37" t="n">
        <x:v>85000000</x:v>
      </x:c>
      <x:c r="G15" s="37" t="n">
        <x:v>51000000</x:v>
      </x:c>
      <x:c r="H15" s="37" t="n">
        <x:v>1700000000</x:v>
      </x:c>
      <x:c r="I15" s="37" t="str">
        <x:v>Payroll</x:v>
      </x:c>
      <x:c r="J15" s="37" t="str">
        <x:v>Sample</x:v>
      </x:c>
    </x:row>
    <x:row r="16">
      <x:c r="A16" s="37" t="n">
        <x:v>2023</x:v>
      </x:c>
      <x:c r="B16" s="37" t="str">
        <x:v>D003</x:v>
      </x:c>
      <x:c r="C16" s="37" t="n">
        <x:v>308569706</x:v>
      </x:c>
      <x:c r="D16" s="37" t="n">
        <x:v>15052181</x:v>
      </x:c>
      <x:c r="E16" s="37" t="n">
        <x:v>22578271</x:v>
      </x:c>
      <x:c r="F16" s="37" t="n">
        <x:v>18815226</x:v>
      </x:c>
      <x:c r="G16" s="37" t="n">
        <x:v>11289136</x:v>
      </x:c>
      <x:c r="H16" s="37" t="n">
        <x:v>376304520</x:v>
      </x:c>
      <x:c r="I16" s="37" t="str">
        <x:v>Payroll</x:v>
      </x:c>
      <x:c r="J16" s="37" t="str">
        <x:v>Sample</x:v>
      </x:c>
    </x:row>
    <x:row r="17">
      <x:c r="A17" s="37" t="n">
        <x:v>2023</x:v>
      </x:c>
      <x:c r="B17" s="37" t="str">
        <x:v>D004</x:v>
      </x:c>
      <x:c r="C17" s="37" t="n">
        <x:v>248420935</x:v>
      </x:c>
      <x:c r="D17" s="37" t="n">
        <x:v>12118094</x:v>
      </x:c>
      <x:c r="E17" s="37" t="n">
        <x:v>18177142</x:v>
      </x:c>
      <x:c r="F17" s="37" t="n">
        <x:v>15147618</x:v>
      </x:c>
      <x:c r="G17" s="37" t="n">
        <x:v>9088571</x:v>
      </x:c>
      <x:c r="H17" s="37" t="n">
        <x:v>302952360</x:v>
      </x:c>
      <x:c r="I17" s="37" t="str">
        <x:v>Payroll</x:v>
      </x:c>
      <x:c r="J17" s="37" t="str">
        <x:v>Sample</x:v>
      </x:c>
    </x:row>
    <x:row r="18">
      <x:c r="A18" s="37" t="n">
        <x:v>2023</x:v>
      </x:c>
      <x:c r="B18" s="37" t="str">
        <x:v>D005</x:v>
      </x:c>
      <x:c r="C18" s="37" t="n">
        <x:v>602320668</x:v>
      </x:c>
      <x:c r="D18" s="37" t="n">
        <x:v>29381496</x:v>
      </x:c>
      <x:c r="E18" s="37" t="n">
        <x:v>44072244</x:v>
      </x:c>
      <x:c r="F18" s="37" t="n">
        <x:v>36726870</x:v>
      </x:c>
      <x:c r="G18" s="37" t="n">
        <x:v>22036122</x:v>
      </x:c>
      <x:c r="H18" s="37" t="n">
        <x:v>734537400</x:v>
      </x:c>
      <x:c r="I18" s="37" t="str">
        <x:v>Payroll</x:v>
      </x:c>
      <x:c r="J18" s="37" t="str">
        <x:v>Sample</x:v>
      </x:c>
    </x:row>
    <x:row r="19">
      <x:c r="A19" s="37" t="n">
        <x:v>2023</x:v>
      </x:c>
      <x:c r="B19" s="37" t="str">
        <x:v>D006</x:v>
      </x:c>
      <x:c r="C19" s="37" t="n">
        <x:v>335139970</x:v>
      </x:c>
      <x:c r="D19" s="37" t="n">
        <x:v>16348291</x:v>
      </x:c>
      <x:c r="E19" s="37" t="n">
        <x:v>24522437</x:v>
      </x:c>
      <x:c r="F19" s="37" t="n">
        <x:v>20435364</x:v>
      </x:c>
      <x:c r="G19" s="37" t="n">
        <x:v>12261218</x:v>
      </x:c>
      <x:c r="H19" s="37" t="n">
        <x:v>408707280</x:v>
      </x:c>
      <x:c r="I19" s="37" t="str">
        <x:v>Payroll</x:v>
      </x:c>
      <x:c r="J19" s="37" t="str">
        <x:v>Sample</x:v>
      </x:c>
    </x:row>
    <x:row r="20">
      <x:c r="A20" s="37" t="n">
        <x:v>2024</x:v>
      </x:c>
      <x:c r="B20" s="37" t="str">
        <x:v>D001</x:v>
      </x:c>
      <x:c r="C20" s="37" t="n">
        <x:v>628070926</x:v>
      </x:c>
      <x:c r="D20" s="37" t="n">
        <x:v>30637606</x:v>
      </x:c>
      <x:c r="E20" s="37" t="n">
        <x:v>45956409</x:v>
      </x:c>
      <x:c r="F20" s="37" t="n">
        <x:v>38297008</x:v>
      </x:c>
      <x:c r="G20" s="37" t="n">
        <x:v>22978205</x:v>
      </x:c>
      <x:c r="H20" s="37" t="n">
        <x:v>765940154</x:v>
      </x:c>
      <x:c r="I20" s="37" t="str">
        <x:v>Payroll</x:v>
      </x:c>
      <x:c r="J20" s="37" t="str">
        <x:v>Sample</x:v>
      </x:c>
    </x:row>
    <x:row r="21">
      <x:c r="A21" s="37" t="n">
        <x:v>2024</x:v>
      </x:c>
      <x:c r="B21" s="37" t="str">
        <x:v>D002</x:v>
      </x:c>
      <x:c r="C21" s="37" t="n">
        <x:v>1491580000</x:v>
      </x:c>
      <x:c r="D21" s="37" t="n">
        <x:v>72760000</x:v>
      </x:c>
      <x:c r="E21" s="37" t="n">
        <x:v>109140000</x:v>
      </x:c>
      <x:c r="F21" s="37" t="n">
        <x:v>90950000</x:v>
      </x:c>
      <x:c r="G21" s="37" t="n">
        <x:v>54570000</x:v>
      </x:c>
      <x:c r="H21" s="37" t="n">
        <x:v>1819000000</x:v>
      </x:c>
      <x:c r="I21" s="37" t="str">
        <x:v>Payroll</x:v>
      </x:c>
      <x:c r="J21" s="37" t="str">
        <x:v>Sample</x:v>
      </x:c>
    </x:row>
    <x:row r="22">
      <x:c r="A22" s="37" t="n">
        <x:v>2024</x:v>
      </x:c>
      <x:c r="B22" s="37" t="str">
        <x:v>D003</x:v>
      </x:c>
      <x:c r="C22" s="37" t="n">
        <x:v>330169586</x:v>
      </x:c>
      <x:c r="D22" s="37" t="n">
        <x:v>16105833</x:v>
      </x:c>
      <x:c r="E22" s="37" t="n">
        <x:v>24158750</x:v>
      </x:c>
      <x:c r="F22" s="37" t="n">
        <x:v>20132292</x:v>
      </x:c>
      <x:c r="G22" s="37" t="n">
        <x:v>12079375</x:v>
      </x:c>
      <x:c r="H22" s="37" t="n">
        <x:v>402645836</x:v>
      </x:c>
      <x:c r="I22" s="37" t="str">
        <x:v>Payroll</x:v>
      </x:c>
      <x:c r="J22" s="37" t="str">
        <x:v>Sample</x:v>
      </x:c>
    </x:row>
    <x:row r="23">
      <x:c r="A23" s="37" t="n">
        <x:v>2024</x:v>
      </x:c>
      <x:c r="B23" s="37" t="str">
        <x:v>D004</x:v>
      </x:c>
      <x:c r="C23" s="37" t="n">
        <x:v>265810400</x:v>
      </x:c>
      <x:c r="D23" s="37" t="n">
        <x:v>12966361</x:v>
      </x:c>
      <x:c r="E23" s="37" t="n">
        <x:v>19449542</x:v>
      </x:c>
      <x:c r="F23" s="37" t="n">
        <x:v>16207951</x:v>
      </x:c>
      <x:c r="G23" s="37" t="n">
        <x:v>9724771</x:v>
      </x:c>
      <x:c r="H23" s="37" t="n">
        <x:v>324159025</x:v>
      </x:c>
      <x:c r="I23" s="37" t="str">
        <x:v>Payroll</x:v>
      </x:c>
      <x:c r="J23" s="37" t="str">
        <x:v>Sample</x:v>
      </x:c>
    </x:row>
    <x:row r="24">
      <x:c r="A24" s="37" t="n">
        <x:v>2024</x:v>
      </x:c>
      <x:c r="B24" s="37" t="str">
        <x:v>D005</x:v>
      </x:c>
      <x:c r="C24" s="37" t="n">
        <x:v>644483115</x:v>
      </x:c>
      <x:c r="D24" s="37" t="n">
        <x:v>31438201</x:v>
      </x:c>
      <x:c r="E24" s="37" t="n">
        <x:v>47157301</x:v>
      </x:c>
      <x:c r="F24" s="37" t="n">
        <x:v>39297751</x:v>
      </x:c>
      <x:c r="G24" s="37" t="n">
        <x:v>23578650</x:v>
      </x:c>
      <x:c r="H24" s="37" t="n">
        <x:v>785955018</x:v>
      </x:c>
      <x:c r="I24" s="37" t="str">
        <x:v>Payroll</x:v>
      </x:c>
      <x:c r="J24" s="37" t="str">
        <x:v>Sample</x:v>
      </x:c>
    </x:row>
    <x:row r="25">
      <x:c r="A25" s="37" t="n">
        <x:v>2024</x:v>
      </x:c>
      <x:c r="B25" s="37" t="str">
        <x:v>D006</x:v>
      </x:c>
      <x:c r="C25" s="37" t="n">
        <x:v>358599768</x:v>
      </x:c>
      <x:c r="D25" s="37" t="n">
        <x:v>17492672</x:v>
      </x:c>
      <x:c r="E25" s="37" t="n">
        <x:v>26239007</x:v>
      </x:c>
      <x:c r="F25" s="37" t="n">
        <x:v>21865840</x:v>
      </x:c>
      <x:c r="G25" s="37" t="n">
        <x:v>13119503</x:v>
      </x:c>
      <x:c r="H25" s="37" t="n">
        <x:v>437316790</x:v>
      </x:c>
      <x:c r="I25" s="37" t="str">
        <x:v>Payroll</x:v>
      </x:c>
      <x:c r="J25" s="37" t="str">
        <x:v>Sample</x:v>
      </x:c>
    </x:row>
    <x:row r="26">
      <x:c r="A26" s="37" t="n">
        <x:v>2025</x:v>
      </x:c>
      <x:c r="B26" s="37" t="str">
        <x:v>D001</x:v>
      </x:c>
      <x:c r="C26" s="37" t="n">
        <x:v>586982174</x:v>
      </x:c>
      <x:c r="D26" s="37" t="n">
        <x:v>28633277</x:v>
      </x:c>
      <x:c r="E26" s="37" t="n">
        <x:v>42949915</x:v>
      </x:c>
      <x:c r="F26" s="37" t="n">
        <x:v>35791596</x:v>
      </x:c>
      <x:c r="G26" s="37" t="n">
        <x:v>21474958</x:v>
      </x:c>
      <x:c r="H26" s="37" t="n">
        <x:v>715831920</x:v>
      </x:c>
      <x:c r="I26" s="37" t="str">
        <x:v>Payroll</x:v>
      </x:c>
      <x:c r="J26" s="37" t="str">
        <x:v>Sample</x:v>
      </x:c>
    </x:row>
    <x:row r="27">
      <x:c r="A27" s="37" t="n">
        <x:v>2025</x:v>
      </x:c>
      <x:c r="B27" s="37" t="str">
        <x:v>D002</x:v>
      </x:c>
      <x:c r="C27" s="37" t="n">
        <x:v>1394000000</x:v>
      </x:c>
      <x:c r="D27" s="37" t="n">
        <x:v>68000000</x:v>
      </x:c>
      <x:c r="E27" s="37" t="n">
        <x:v>102000000</x:v>
      </x:c>
      <x:c r="F27" s="37" t="n">
        <x:v>85000000</x:v>
      </x:c>
      <x:c r="G27" s="37" t="n">
        <x:v>51000000</x:v>
      </x:c>
      <x:c r="H27" s="37" t="n">
        <x:v>1700000000</x:v>
      </x:c>
      <x:c r="I27" s="37" t="str">
        <x:v>Payroll</x:v>
      </x:c>
      <x:c r="J27" s="37" t="str">
        <x:v>Sample</x:v>
      </x:c>
    </x:row>
    <x:row r="28">
      <x:c r="A28" s="37" t="n">
        <x:v>2025</x:v>
      </x:c>
      <x:c r="B28" s="37" t="str">
        <x:v>D003</x:v>
      </x:c>
      <x:c r="C28" s="37" t="n">
        <x:v>308569706</x:v>
      </x:c>
      <x:c r="D28" s="37" t="n">
        <x:v>15052181</x:v>
      </x:c>
      <x:c r="E28" s="37" t="n">
        <x:v>22578271</x:v>
      </x:c>
      <x:c r="F28" s="37" t="n">
        <x:v>18815226</x:v>
      </x:c>
      <x:c r="G28" s="37" t="n">
        <x:v>11289136</x:v>
      </x:c>
      <x:c r="H28" s="37" t="n">
        <x:v>376304520</x:v>
      </x:c>
      <x:c r="I28" s="37" t="str">
        <x:v>Payroll</x:v>
      </x:c>
      <x:c r="J28" s="37" t="str">
        <x:v>Sample</x:v>
      </x:c>
    </x:row>
    <x:row r="29">
      <x:c r="A29" s="37" t="n">
        <x:v>2025</x:v>
      </x:c>
      <x:c r="B29" s="37" t="str">
        <x:v>D004</x:v>
      </x:c>
      <x:c r="C29" s="37" t="n">
        <x:v>248420935</x:v>
      </x:c>
      <x:c r="D29" s="37" t="n">
        <x:v>12118094</x:v>
      </x:c>
      <x:c r="E29" s="37" t="n">
        <x:v>18177142</x:v>
      </x:c>
      <x:c r="F29" s="37" t="n">
        <x:v>15147618</x:v>
      </x:c>
      <x:c r="G29" s="37" t="n">
        <x:v>9088571</x:v>
      </x:c>
      <x:c r="H29" s="37" t="n">
        <x:v>302952360</x:v>
      </x:c>
      <x:c r="I29" s="37" t="str">
        <x:v>Payroll</x:v>
      </x:c>
      <x:c r="J29" s="37" t="str">
        <x:v>Sample</x:v>
      </x:c>
    </x:row>
    <x:row r="30">
      <x:c r="A30" s="37" t="n">
        <x:v>2025</x:v>
      </x:c>
      <x:c r="B30" s="37" t="str">
        <x:v>D005</x:v>
      </x:c>
      <x:c r="C30" s="37" t="n">
        <x:v>602320668</x:v>
      </x:c>
      <x:c r="D30" s="37" t="n">
        <x:v>29381496</x:v>
      </x:c>
      <x:c r="E30" s="37" t="n">
        <x:v>44072244</x:v>
      </x:c>
      <x:c r="F30" s="37" t="n">
        <x:v>36726870</x:v>
      </x:c>
      <x:c r="G30" s="37" t="n">
        <x:v>22036122</x:v>
      </x:c>
      <x:c r="H30" s="37" t="n">
        <x:v>734537400</x:v>
      </x:c>
      <x:c r="I30" s="37" t="str">
        <x:v>Payroll</x:v>
      </x:c>
      <x:c r="J30" s="37" t="str">
        <x:v>Sample</x:v>
      </x:c>
    </x:row>
    <x:row r="31">
      <x:c r="A31" s="37" t="n">
        <x:v>2025</x:v>
      </x:c>
      <x:c r="B31" s="37" t="str">
        <x:v>D006</x:v>
      </x:c>
      <x:c r="C31" s="37" t="n">
        <x:v>335139970</x:v>
      </x:c>
      <x:c r="D31" s="37" t="n">
        <x:v>16348291</x:v>
      </x:c>
      <x:c r="E31" s="37" t="n">
        <x:v>24522437</x:v>
      </x:c>
      <x:c r="F31" s="37" t="n">
        <x:v>20435364</x:v>
      </x:c>
      <x:c r="G31" s="37" t="n">
        <x:v>12261218</x:v>
      </x:c>
      <x:c r="H31" s="37" t="n">
        <x:v>408707280</x:v>
      </x:c>
      <x:c r="I31" s="37" t="str">
        <x:v>Payroll</x:v>
      </x:c>
      <x:c r="J31" s="37" t="str">
        <x:v>Sample</x:v>
      </x:c>
    </x:row>
    <x:row r="32">
      <x:c r="A32" s="37" t="n">
        <x:v>2026</x:v>
      </x:c>
      <x:c r="B32" s="37" t="str">
        <x:v>D001</x:v>
      </x:c>
      <x:c r="C32" s="37" t="n">
        <x:v>633940749</x:v>
      </x:c>
      <x:c r="D32" s="37" t="n">
        <x:v>30923939</x:v>
      </x:c>
      <x:c r="E32" s="37" t="n">
        <x:v>46385908</x:v>
      </x:c>
      <x:c r="F32" s="37" t="n">
        <x:v>38654924</x:v>
      </x:c>
      <x:c r="G32" s="37" t="n">
        <x:v>23192954</x:v>
      </x:c>
      <x:c r="H32" s="37" t="n">
        <x:v>773098474</x:v>
      </x:c>
      <x:c r="I32" s="37" t="str">
        <x:v>Payroll</x:v>
      </x:c>
      <x:c r="J32" s="37" t="str">
        <x:v>Sample 2026</x:v>
      </x:c>
    </x:row>
    <x:row r="33">
      <x:c r="A33" s="37" t="n">
        <x:v>2026</x:v>
      </x:c>
      <x:c r="B33" s="37" t="str">
        <x:v>D002</x:v>
      </x:c>
      <x:c r="C33" s="37" t="n">
        <x:v>1505520000</x:v>
      </x:c>
      <x:c r="D33" s="37" t="n">
        <x:v>73440000</x:v>
      </x:c>
      <x:c r="E33" s="37" t="n">
        <x:v>110160000</x:v>
      </x:c>
      <x:c r="F33" s="37" t="n">
        <x:v>91800000</x:v>
      </x:c>
      <x:c r="G33" s="37" t="n">
        <x:v>55080000</x:v>
      </x:c>
      <x:c r="H33" s="37" t="n">
        <x:v>1836000000</x:v>
      </x:c>
      <x:c r="I33" s="37" t="str">
        <x:v>Payroll</x:v>
      </x:c>
      <x:c r="J33" s="37" t="str">
        <x:v>Sample 2026</x:v>
      </x:c>
    </x:row>
    <x:row r="34">
      <x:c r="A34" s="37" t="n">
        <x:v>2026</x:v>
      </x:c>
      <x:c r="B34" s="37" t="str">
        <x:v>D003</x:v>
      </x:c>
      <x:c r="C34" s="37" t="n">
        <x:v>333255283</x:v>
      </x:c>
      <x:c r="D34" s="37" t="n">
        <x:v>16256355</x:v>
      </x:c>
      <x:c r="E34" s="37" t="n">
        <x:v>24384533</x:v>
      </x:c>
      <x:c r="F34" s="37" t="n">
        <x:v>20320444</x:v>
      </x:c>
      <x:c r="G34" s="37" t="n">
        <x:v>12192267</x:v>
      </x:c>
      <x:c r="H34" s="37" t="n">
        <x:v>406408882</x:v>
      </x:c>
      <x:c r="I34" s="37" t="str">
        <x:v>Payroll</x:v>
      </x:c>
      <x:c r="J34" s="37" t="str">
        <x:v>Sample 2026</x:v>
      </x:c>
    </x:row>
    <x:row r="35">
      <x:c r="A35" s="37" t="n">
        <x:v>2026</x:v>
      </x:c>
      <x:c r="B35" s="37" t="str">
        <x:v>D004</x:v>
      </x:c>
      <x:c r="C35" s="37" t="n">
        <x:v>268294610</x:v>
      </x:c>
      <x:c r="D35" s="37" t="n">
        <x:v>13087542</x:v>
      </x:c>
      <x:c r="E35" s="37" t="n">
        <x:v>19631313</x:v>
      </x:c>
      <x:c r="F35" s="37" t="n">
        <x:v>16359427</x:v>
      </x:c>
      <x:c r="G35" s="37" t="n">
        <x:v>9815657</x:v>
      </x:c>
      <x:c r="H35" s="37" t="n">
        <x:v>327188549</x:v>
      </x:c>
      <x:c r="I35" s="37" t="str">
        <x:v>Payroll</x:v>
      </x:c>
      <x:c r="J35" s="37" t="str">
        <x:v>Sample 2026</x:v>
      </x:c>
    </x:row>
    <x:row r="36">
      <x:c r="A36" s="37" t="n">
        <x:v>2026</x:v>
      </x:c>
      <x:c r="B36" s="37" t="str">
        <x:v>D005</x:v>
      </x:c>
      <x:c r="C36" s="37" t="n">
        <x:v>650506321</x:v>
      </x:c>
      <x:c r="D36" s="37" t="n">
        <x:v>31732016</x:v>
      </x:c>
      <x:c r="E36" s="37" t="n">
        <x:v>47598024</x:v>
      </x:c>
      <x:c r="F36" s="37" t="n">
        <x:v>39665020</x:v>
      </x:c>
      <x:c r="G36" s="37" t="n">
        <x:v>23799011</x:v>
      </x:c>
      <x:c r="H36" s="37" t="n">
        <x:v>793300392</x:v>
      </x:c>
      <x:c r="I36" s="37" t="str">
        <x:v>Payroll</x:v>
      </x:c>
      <x:c r="J36" s="37" t="str">
        <x:v>Sample 2026</x:v>
      </x:c>
    </x:row>
    <x:row r="37">
      <x:c r="A37" s="37" t="n">
        <x:v>2026</x:v>
      </x:c>
      <x:c r="B37" s="37" t="str">
        <x:v>D006</x:v>
      </x:c>
      <x:c r="C37" s="37" t="n">
        <x:v>361951167</x:v>
      </x:c>
      <x:c r="D37" s="37" t="n">
        <x:v>17656154</x:v>
      </x:c>
      <x:c r="E37" s="37" t="n">
        <x:v>26484232</x:v>
      </x:c>
      <x:c r="F37" s="37" t="n">
        <x:v>22070193</x:v>
      </x:c>
      <x:c r="G37" s="37" t="n">
        <x:v>13242116</x:v>
      </x:c>
      <x:c r="H37" s="37" t="n">
        <x:v>441403862</x:v>
      </x:c>
      <x:c r="I37" s="37" t="str">
        <x:v>Payroll</x:v>
      </x:c>
      <x:c r="J37" s="37" t="str">
        <x:v>Sample 2026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fbbcaf9dc1d4a2a"/>
    <x:tablePart xmlns:r="http://schemas.openxmlformats.org/officeDocument/2006/relationships" r:id="R900fd0ca7179409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4" t="str">
        <x:v>Year</x:v>
      </x:c>
      <x:c r="B1" s="34" t="str">
        <x:v>Dept_ID</x:v>
      </x:c>
      <x:c r="C1" s="34" t="str">
        <x:v>Joiners</x:v>
      </x:c>
      <x:c r="D1" s="34" t="str">
        <x:v>Leavers</x:v>
      </x:c>
      <x:c r="E1" s="34" t="str">
        <x:v>Internal_Transfer_In</x:v>
      </x:c>
      <x:c r="F1" s="34" t="str">
        <x:v>Internal_Transfer_Out</x:v>
      </x:c>
      <x:c r="G1" s="34" t="str">
        <x:v>Notes</x:v>
      </x:c>
    </x:row>
    <x:row r="2">
      <x:c r="A2" s="37" t="n">
        <x:v>2021</x:v>
      </x:c>
      <x:c r="B2" s="37" t="str">
        <x:v>D001</x:v>
      </x:c>
      <x:c r="C2" s="37" t="n">
        <x:v>0</x:v>
      </x:c>
      <x:c r="D2" s="37" t="n">
        <x:v>0</x:v>
      </x:c>
      <x:c r="E2" s="37" t="n">
        <x:v>0</x:v>
      </x:c>
      <x:c r="F2" s="37" t="n">
        <x:v>0</x:v>
      </x:c>
      <x:c r="G2" s="37" t="str">
        <x:v>Sample</x:v>
      </x:c>
    </x:row>
    <x:row r="3">
      <x:c r="A3" s="37" t="n">
        <x:v>2021</x:v>
      </x:c>
      <x:c r="B3" s="37" t="str">
        <x:v>D002</x:v>
      </x:c>
      <x:c r="C3" s="37" t="n">
        <x:v>0</x:v>
      </x:c>
      <x:c r="D3" s="37" t="n">
        <x:v>0</x:v>
      </x:c>
      <x:c r="E3" s="37" t="n">
        <x:v>0</x:v>
      </x:c>
      <x:c r="F3" s="37" t="n">
        <x:v>0</x:v>
      </x:c>
      <x:c r="G3" s="37" t="str">
        <x:v>Sample</x:v>
      </x:c>
    </x:row>
    <x:row r="4">
      <x:c r="A4" s="37" t="n">
        <x:v>2021</x:v>
      </x:c>
      <x:c r="B4" s="37" t="str">
        <x:v>D003</x:v>
      </x:c>
      <x:c r="C4" s="37" t="n">
        <x:v>0</x:v>
      </x:c>
      <x:c r="D4" s="37" t="n">
        <x:v>0</x:v>
      </x:c>
      <x:c r="E4" s="37" t="n">
        <x:v>0</x:v>
      </x:c>
      <x:c r="F4" s="37" t="n">
        <x:v>0</x:v>
      </x:c>
      <x:c r="G4" s="37" t="str">
        <x:v>Sample</x:v>
      </x:c>
    </x:row>
    <x:row r="5">
      <x:c r="A5" s="37" t="n">
        <x:v>2021</x:v>
      </x:c>
      <x:c r="B5" s="37" t="str">
        <x:v>D004</x:v>
      </x:c>
      <x:c r="C5" s="37" t="n">
        <x:v>0</x:v>
      </x:c>
      <x:c r="D5" s="37" t="n">
        <x:v>0</x:v>
      </x:c>
      <x:c r="E5" s="37" t="n">
        <x:v>0</x:v>
      </x:c>
      <x:c r="F5" s="37" t="n">
        <x:v>0</x:v>
      </x:c>
      <x:c r="G5" s="37" t="str">
        <x:v>Sample</x:v>
      </x:c>
    </x:row>
    <x:row r="6">
      <x:c r="A6" s="37" t="n">
        <x:v>2021</x:v>
      </x:c>
      <x:c r="B6" s="37" t="str">
        <x:v>D005</x:v>
      </x:c>
      <x:c r="C6" s="37" t="n">
        <x:v>0</x:v>
      </x:c>
      <x:c r="D6" s="37" t="n">
        <x:v>0</x:v>
      </x:c>
      <x:c r="E6" s="37" t="n">
        <x:v>0</x:v>
      </x:c>
      <x:c r="F6" s="37" t="n">
        <x:v>0</x:v>
      </x:c>
      <x:c r="G6" s="37" t="str">
        <x:v>Sample</x:v>
      </x:c>
    </x:row>
    <x:row r="7">
      <x:c r="A7" s="37" t="n">
        <x:v>2021</x:v>
      </x:c>
      <x:c r="B7" s="37" t="str">
        <x:v>D006</x:v>
      </x:c>
      <x:c r="C7" s="37" t="n">
        <x:v>0</x:v>
      </x:c>
      <x:c r="D7" s="37" t="n">
        <x:v>0</x:v>
      </x:c>
      <x:c r="E7" s="37" t="n">
        <x:v>0</x:v>
      </x:c>
      <x:c r="F7" s="37" t="n">
        <x:v>0</x:v>
      </x:c>
      <x:c r="G7" s="37" t="str">
        <x:v>Sample</x:v>
      </x:c>
    </x:row>
    <x:row r="8">
      <x:c r="A8" s="37" t="n">
        <x:v>2022</x:v>
      </x:c>
      <x:c r="B8" s="37" t="str">
        <x:v>D001</x:v>
      </x:c>
      <x:c r="C8" s="37" t="n">
        <x:v>0</x:v>
      </x:c>
      <x:c r="D8" s="37" t="n">
        <x:v>0</x:v>
      </x:c>
      <x:c r="E8" s="37" t="n">
        <x:v>0</x:v>
      </x:c>
      <x:c r="F8" s="37" t="n">
        <x:v>0</x:v>
      </x:c>
      <x:c r="G8" s="37" t="str">
        <x:v>Sample</x:v>
      </x:c>
    </x:row>
    <x:row r="9">
      <x:c r="A9" s="37" t="n">
        <x:v>2022</x:v>
      </x:c>
      <x:c r="B9" s="37" t="str">
        <x:v>D002</x:v>
      </x:c>
      <x:c r="C9" s="37" t="n">
        <x:v>0</x:v>
      </x:c>
      <x:c r="D9" s="37" t="n">
        <x:v>0</x:v>
      </x:c>
      <x:c r="E9" s="37" t="n">
        <x:v>0</x:v>
      </x:c>
      <x:c r="F9" s="37" t="n">
        <x:v>0</x:v>
      </x:c>
      <x:c r="G9" s="37" t="str">
        <x:v>Sample</x:v>
      </x:c>
    </x:row>
    <x:row r="10">
      <x:c r="A10" s="37" t="n">
        <x:v>2022</x:v>
      </x:c>
      <x:c r="B10" s="37" t="str">
        <x:v>D003</x:v>
      </x:c>
      <x:c r="C10" s="37" t="n">
        <x:v>0</x:v>
      </x:c>
      <x:c r="D10" s="37" t="n">
        <x:v>0</x:v>
      </x:c>
      <x:c r="E10" s="37" t="n">
        <x:v>0</x:v>
      </x:c>
      <x:c r="F10" s="37" t="n">
        <x:v>0</x:v>
      </x:c>
      <x:c r="G10" s="37" t="str">
        <x:v>Sample</x:v>
      </x:c>
    </x:row>
    <x:row r="11">
      <x:c r="A11" s="37" t="n">
        <x:v>2022</x:v>
      </x:c>
      <x:c r="B11" s="37" t="str">
        <x:v>D004</x:v>
      </x:c>
      <x:c r="C11" s="37" t="n">
        <x:v>0</x:v>
      </x:c>
      <x:c r="D11" s="37" t="n">
        <x:v>0</x:v>
      </x:c>
      <x:c r="E11" s="37" t="n">
        <x:v>0</x:v>
      </x:c>
      <x:c r="F11" s="37" t="n">
        <x:v>0</x:v>
      </x:c>
      <x:c r="G11" s="37" t="str">
        <x:v>Sample</x:v>
      </x:c>
    </x:row>
    <x:row r="12">
      <x:c r="A12" s="37" t="n">
        <x:v>2022</x:v>
      </x:c>
      <x:c r="B12" s="37" t="str">
        <x:v>D005</x:v>
      </x:c>
      <x:c r="C12" s="37" t="n">
        <x:v>0</x:v>
      </x:c>
      <x:c r="D12" s="37" t="n">
        <x:v>0</x:v>
      </x:c>
      <x:c r="E12" s="37" t="n">
        <x:v>0</x:v>
      </x:c>
      <x:c r="F12" s="37" t="n">
        <x:v>0</x:v>
      </x:c>
      <x:c r="G12" s="37" t="str">
        <x:v>Sample</x:v>
      </x:c>
    </x:row>
    <x:row r="13">
      <x:c r="A13" s="37" t="n">
        <x:v>2022</x:v>
      </x:c>
      <x:c r="B13" s="37" t="str">
        <x:v>D006</x:v>
      </x:c>
      <x:c r="C13" s="37" t="n">
        <x:v>0</x:v>
      </x:c>
      <x:c r="D13" s="37" t="n">
        <x:v>0</x:v>
      </x:c>
      <x:c r="E13" s="37" t="n">
        <x:v>0</x:v>
      </x:c>
      <x:c r="F13" s="37" t="n">
        <x:v>0</x:v>
      </x:c>
      <x:c r="G13" s="37" t="str">
        <x:v>Sample</x:v>
      </x:c>
    </x:row>
    <x:row r="14">
      <x:c r="A14" s="37" t="n">
        <x:v>2023</x:v>
      </x:c>
      <x:c r="B14" s="37" t="str">
        <x:v>D001</x:v>
      </x:c>
      <x:c r="C14" s="37" t="n">
        <x:v>0</x:v>
      </x:c>
      <x:c r="D14" s="37" t="n">
        <x:v>0</x:v>
      </x:c>
      <x:c r="E14" s="37" t="n">
        <x:v>0</x:v>
      </x:c>
      <x:c r="F14" s="37" t="n">
        <x:v>0</x:v>
      </x:c>
      <x:c r="G14" s="37" t="str">
        <x:v>Sample</x:v>
      </x:c>
    </x:row>
    <x:row r="15">
      <x:c r="A15" s="37" t="n">
        <x:v>2023</x:v>
      </x:c>
      <x:c r="B15" s="37" t="str">
        <x:v>D002</x:v>
      </x:c>
      <x:c r="C15" s="37" t="n">
        <x:v>0</x:v>
      </x:c>
      <x:c r="D15" s="37" t="n">
        <x:v>0</x:v>
      </x:c>
      <x:c r="E15" s="37" t="n">
        <x:v>0</x:v>
      </x:c>
      <x:c r="F15" s="37" t="n">
        <x:v>0</x:v>
      </x:c>
      <x:c r="G15" s="37" t="str">
        <x:v>Sample</x:v>
      </x:c>
    </x:row>
    <x:row r="16">
      <x:c r="A16" s="37" t="n">
        <x:v>2023</x:v>
      </x:c>
      <x:c r="B16" s="37" t="str">
        <x:v>D003</x:v>
      </x:c>
      <x:c r="C16" s="37" t="n">
        <x:v>0</x:v>
      </x:c>
      <x:c r="D16" s="37" t="n">
        <x:v>0</x:v>
      </x:c>
      <x:c r="E16" s="37" t="n">
        <x:v>0</x:v>
      </x:c>
      <x:c r="F16" s="37" t="n">
        <x:v>0</x:v>
      </x:c>
      <x:c r="G16" s="37" t="str">
        <x:v>Sample</x:v>
      </x:c>
    </x:row>
    <x:row r="17">
      <x:c r="A17" s="37" t="n">
        <x:v>2023</x:v>
      </x:c>
      <x:c r="B17" s="37" t="str">
        <x:v>D004</x:v>
      </x:c>
      <x:c r="C17" s="37" t="n">
        <x:v>0</x:v>
      </x:c>
      <x:c r="D17" s="37" t="n">
        <x:v>0</x:v>
      </x:c>
      <x:c r="E17" s="37" t="n">
        <x:v>0</x:v>
      </x:c>
      <x:c r="F17" s="37" t="n">
        <x:v>0</x:v>
      </x:c>
      <x:c r="G17" s="37" t="str">
        <x:v>Sample</x:v>
      </x:c>
    </x:row>
    <x:row r="18">
      <x:c r="A18" s="37" t="n">
        <x:v>2023</x:v>
      </x:c>
      <x:c r="B18" s="37" t="str">
        <x:v>D005</x:v>
      </x:c>
      <x:c r="C18" s="37" t="n">
        <x:v>0</x:v>
      </x:c>
      <x:c r="D18" s="37" t="n">
        <x:v>0</x:v>
      </x:c>
      <x:c r="E18" s="37" t="n">
        <x:v>0</x:v>
      </x:c>
      <x:c r="F18" s="37" t="n">
        <x:v>0</x:v>
      </x:c>
      <x:c r="G18" s="37" t="str">
        <x:v>Sample</x:v>
      </x:c>
    </x:row>
    <x:row r="19">
      <x:c r="A19" s="37" t="n">
        <x:v>2023</x:v>
      </x:c>
      <x:c r="B19" s="37" t="str">
        <x:v>D006</x:v>
      </x:c>
      <x:c r="C19" s="37" t="n">
        <x:v>0</x:v>
      </x:c>
      <x:c r="D19" s="37" t="n">
        <x:v>0</x:v>
      </x:c>
      <x:c r="E19" s="37" t="n">
        <x:v>0</x:v>
      </x:c>
      <x:c r="F19" s="37" t="n">
        <x:v>0</x:v>
      </x:c>
      <x:c r="G19" s="37" t="str">
        <x:v>Sample</x:v>
      </x:c>
    </x:row>
    <x:row r="20">
      <x:c r="A20" s="37" t="n">
        <x:v>2024</x:v>
      </x:c>
      <x:c r="B20" s="37" t="str">
        <x:v>D001</x:v>
      </x:c>
      <x:c r="C20" s="37" t="n">
        <x:v>0</x:v>
      </x:c>
      <x:c r="D20" s="37" t="n">
        <x:v>0</x:v>
      </x:c>
      <x:c r="E20" s="37" t="n">
        <x:v>0</x:v>
      </x:c>
      <x:c r="F20" s="37" t="n">
        <x:v>0</x:v>
      </x:c>
      <x:c r="G20" s="37" t="str">
        <x:v>Sample</x:v>
      </x:c>
    </x:row>
    <x:row r="21">
      <x:c r="A21" s="37" t="n">
        <x:v>2024</x:v>
      </x:c>
      <x:c r="B21" s="37" t="str">
        <x:v>D002</x:v>
      </x:c>
      <x:c r="C21" s="37" t="n">
        <x:v>1</x:v>
      </x:c>
      <x:c r="D21" s="37" t="n">
        <x:v>0</x:v>
      </x:c>
      <x:c r="E21" s="37" t="n">
        <x:v>0</x:v>
      </x:c>
      <x:c r="F21" s="37" t="n">
        <x:v>0</x:v>
      </x:c>
      <x:c r="G21" s="37" t="str">
        <x:v>Sample</x:v>
      </x:c>
    </x:row>
    <x:row r="22">
      <x:c r="A22" s="37" t="n">
        <x:v>2024</x:v>
      </x:c>
      <x:c r="B22" s="37" t="str">
        <x:v>D003</x:v>
      </x:c>
      <x:c r="C22" s="37" t="n">
        <x:v>0</x:v>
      </x:c>
      <x:c r="D22" s="37" t="n">
        <x:v>0</x:v>
      </x:c>
      <x:c r="E22" s="37" t="n">
        <x:v>0</x:v>
      </x:c>
      <x:c r="F22" s="37" t="n">
        <x:v>0</x:v>
      </x:c>
      <x:c r="G22" s="37" t="str">
        <x:v>Sample</x:v>
      </x:c>
    </x:row>
    <x:row r="23">
      <x:c r="A23" s="37" t="n">
        <x:v>2024</x:v>
      </x:c>
      <x:c r="B23" s="37" t="str">
        <x:v>D004</x:v>
      </x:c>
      <x:c r="C23" s="37" t="n">
        <x:v>0</x:v>
      </x:c>
      <x:c r="D23" s="37" t="n">
        <x:v>0</x:v>
      </x:c>
      <x:c r="E23" s="37" t="n">
        <x:v>0</x:v>
      </x:c>
      <x:c r="F23" s="37" t="n">
        <x:v>0</x:v>
      </x:c>
      <x:c r="G23" s="37" t="str">
        <x:v>Sample</x:v>
      </x:c>
    </x:row>
    <x:row r="24">
      <x:c r="A24" s="37" t="n">
        <x:v>2024</x:v>
      </x:c>
      <x:c r="B24" s="37" t="str">
        <x:v>D005</x:v>
      </x:c>
      <x:c r="C24" s="37" t="n">
        <x:v>1</x:v>
      </x:c>
      <x:c r="D24" s="37" t="n">
        <x:v>0</x:v>
      </x:c>
      <x:c r="E24" s="37" t="n">
        <x:v>0</x:v>
      </x:c>
      <x:c r="F24" s="37" t="n">
        <x:v>0</x:v>
      </x:c>
      <x:c r="G24" s="37" t="str">
        <x:v>Sample</x:v>
      </x:c>
    </x:row>
    <x:row r="25">
      <x:c r="A25" s="37" t="n">
        <x:v>2024</x:v>
      </x:c>
      <x:c r="B25" s="37" t="str">
        <x:v>D006</x:v>
      </x:c>
      <x:c r="C25" s="37" t="n">
        <x:v>0</x:v>
      </x:c>
      <x:c r="D25" s="37" t="n">
        <x:v>0</x:v>
      </x:c>
      <x:c r="E25" s="37" t="n">
        <x:v>0</x:v>
      </x:c>
      <x:c r="F25" s="37" t="n">
        <x:v>0</x:v>
      </x:c>
      <x:c r="G25" s="37" t="str">
        <x:v>Sample</x:v>
      </x:c>
    </x:row>
    <x:row r="26">
      <x:c r="A26" s="37" t="n">
        <x:v>2025</x:v>
      </x:c>
      <x:c r="B26" s="37" t="str">
        <x:v>D001</x:v>
      </x:c>
      <x:c r="C26" s="37" t="n">
        <x:v>0</x:v>
      </x:c>
      <x:c r="D26" s="37" t="n">
        <x:v>0</x:v>
      </x:c>
      <x:c r="E26" s="37" t="n">
        <x:v>0</x:v>
      </x:c>
      <x:c r="F26" s="37" t="n">
        <x:v>0</x:v>
      </x:c>
      <x:c r="G26" s="37" t="str">
        <x:v>Sample</x:v>
      </x:c>
    </x:row>
    <x:row r="27">
      <x:c r="A27" s="37" t="n">
        <x:v>2025</x:v>
      </x:c>
      <x:c r="B27" s="37" t="str">
        <x:v>D002</x:v>
      </x:c>
      <x:c r="C27" s="37" t="n">
        <x:v>1</x:v>
      </x:c>
      <x:c r="D27" s="37" t="n">
        <x:v>0</x:v>
      </x:c>
      <x:c r="E27" s="37" t="n">
        <x:v>0</x:v>
      </x:c>
      <x:c r="F27" s="37" t="n">
        <x:v>0</x:v>
      </x:c>
      <x:c r="G27" s="37" t="str">
        <x:v>Sample</x:v>
      </x:c>
    </x:row>
    <x:row r="28">
      <x:c r="A28" s="37" t="n">
        <x:v>2025</x:v>
      </x:c>
      <x:c r="B28" s="37" t="str">
        <x:v>D003</x:v>
      </x:c>
      <x:c r="C28" s="37" t="n">
        <x:v>0</x:v>
      </x:c>
      <x:c r="D28" s="37" t="n">
        <x:v>0</x:v>
      </x:c>
      <x:c r="E28" s="37" t="n">
        <x:v>0</x:v>
      </x:c>
      <x:c r="F28" s="37" t="n">
        <x:v>0</x:v>
      </x:c>
      <x:c r="G28" s="37" t="str">
        <x:v>Sample</x:v>
      </x:c>
    </x:row>
    <x:row r="29">
      <x:c r="A29" s="37" t="n">
        <x:v>2025</x:v>
      </x:c>
      <x:c r="B29" s="37" t="str">
        <x:v>D004</x:v>
      </x:c>
      <x:c r="C29" s="37" t="n">
        <x:v>0</x:v>
      </x:c>
      <x:c r="D29" s="37" t="n">
        <x:v>0</x:v>
      </x:c>
      <x:c r="E29" s="37" t="n">
        <x:v>0</x:v>
      </x:c>
      <x:c r="F29" s="37" t="n">
        <x:v>0</x:v>
      </x:c>
      <x:c r="G29" s="37" t="str">
        <x:v>Sample</x:v>
      </x:c>
    </x:row>
    <x:row r="30">
      <x:c r="A30" s="37" t="n">
        <x:v>2025</x:v>
      </x:c>
      <x:c r="B30" s="37" t="str">
        <x:v>D005</x:v>
      </x:c>
      <x:c r="C30" s="37" t="n">
        <x:v>1</x:v>
      </x:c>
      <x:c r="D30" s="37" t="n">
        <x:v>0</x:v>
      </x:c>
      <x:c r="E30" s="37" t="n">
        <x:v>0</x:v>
      </x:c>
      <x:c r="F30" s="37" t="n">
        <x:v>0</x:v>
      </x:c>
      <x:c r="G30" s="37" t="str">
        <x:v>Sample</x:v>
      </x:c>
    </x:row>
    <x:row r="31">
      <x:c r="A31" s="37" t="n">
        <x:v>2025</x:v>
      </x:c>
      <x:c r="B31" s="37" t="str">
        <x:v>D006</x:v>
      </x:c>
      <x:c r="C31" s="37" t="n">
        <x:v>0</x:v>
      </x:c>
      <x:c r="D31" s="37" t="n">
        <x:v>0</x:v>
      </x:c>
      <x:c r="E31" s="37" t="n">
        <x:v>0</x:v>
      </x:c>
      <x:c r="F31" s="37" t="n">
        <x:v>0</x:v>
      </x:c>
      <x:c r="G31" s="37" t="str">
        <x:v>Sample</x:v>
      </x:c>
    </x:row>
    <x:row r="32">
      <x:c r="A32" s="37" t="n">
        <x:v>2026</x:v>
      </x:c>
      <x:c r="B32" s="37" t="str">
        <x:v>D001</x:v>
      </x:c>
      <x:c r="C32" s="37" t="n">
        <x:v>1</x:v>
      </x:c>
      <x:c r="D32" s="37" t="n">
        <x:v>0</x:v>
      </x:c>
      <x:c r="E32" s="37" t="n">
        <x:v>0</x:v>
      </x:c>
      <x:c r="F32" s="37" t="n">
        <x:v>0</x:v>
      </x:c>
      <x:c r="G32" s="37" t="str">
        <x:v>Sample 2026</x:v>
      </x:c>
    </x:row>
    <x:row r="33">
      <x:c r="A33" s="37" t="n">
        <x:v>2026</x:v>
      </x:c>
      <x:c r="B33" s="37" t="str">
        <x:v>D002</x:v>
      </x:c>
      <x:c r="C33" s="37" t="n">
        <x:v>2</x:v>
      </x:c>
      <x:c r="D33" s="37" t="n">
        <x:v>0</x:v>
      </x:c>
      <x:c r="E33" s="37" t="n">
        <x:v>0</x:v>
      </x:c>
      <x:c r="F33" s="37" t="n">
        <x:v>0</x:v>
      </x:c>
      <x:c r="G33" s="37" t="str">
        <x:v>Sample 2026</x:v>
      </x:c>
    </x:row>
    <x:row r="34">
      <x:c r="A34" s="37" t="n">
        <x:v>2026</x:v>
      </x:c>
      <x:c r="B34" s="37" t="str">
        <x:v>D003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str">
        <x:v>Sample 2026</x:v>
      </x:c>
    </x:row>
    <x:row r="35">
      <x:c r="A35" s="37" t="n">
        <x:v>2026</x:v>
      </x:c>
      <x:c r="B35" s="37" t="str">
        <x:v>D004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str">
        <x:v>Sample 2026</x:v>
      </x:c>
    </x:row>
    <x:row r="36">
      <x:c r="A36" s="37" t="n">
        <x:v>2026</x:v>
      </x:c>
      <x:c r="B36" s="37" t="str">
        <x:v>D005</x:v>
      </x:c>
      <x:c r="C36" s="37" t="n">
        <x:v>1</x:v>
      </x:c>
      <x:c r="D36" s="37" t="n">
        <x:v>0</x:v>
      </x:c>
      <x:c r="E36" s="37" t="n">
        <x:v>0</x:v>
      </x:c>
      <x:c r="F36" s="37" t="n">
        <x:v>0</x:v>
      </x:c>
      <x:c r="G36" s="37" t="str">
        <x:v>Sample 2026</x:v>
      </x:c>
    </x:row>
    <x:row r="37">
      <x:c r="A37" s="37" t="n">
        <x:v>2026</x:v>
      </x:c>
      <x:c r="B37" s="37" t="str">
        <x:v>D006</x:v>
      </x:c>
      <x:c r="C37" s="37" t="n">
        <x:v>0</x:v>
      </x:c>
      <x:c r="D37" s="37" t="n">
        <x:v>0</x:v>
      </x:c>
      <x:c r="E37" s="37" t="n">
        <x:v>0</x:v>
      </x:c>
      <x:c r="F37" s="37" t="n">
        <x:v>0</x:v>
      </x:c>
      <x:c r="G37" s="37" t="str">
        <x:v>Sample 2026</x:v>
      </x:c>
    </x:row>
  </x:sheetData>
  <x:pageMargins left="0.7" right="0.7" top="0.75" bottom="0.75" header="0.3" footer="0.3"/>
  <x:tableParts count="2">
    <x:tablePart xmlns:r="http://schemas.openxmlformats.org/officeDocument/2006/relationships" r:id="Rae7052e2ef2340e1"/>
    <x:tablePart xmlns:r="http://schemas.openxmlformats.org/officeDocument/2006/relationships" r:id="R1533ccd4c7b7433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4" t="str">
        <x:v>Year</x:v>
      </x:c>
      <x:c r="B1" s="34" t="str">
        <x:v>Project_ID</x:v>
      </x:c>
      <x:c r="C1" s="34" t="str">
        <x:v>Customer</x:v>
      </x:c>
      <x:c r="D1" s="34" t="str">
        <x:v>Business_Line</x:v>
      </x:c>
      <x:c r="E1" s="35" t="str">
        <x:v>Revenue</x:v>
      </x:c>
      <x:c r="F1" s="35" t="str">
        <x:v>COGS</x:v>
      </x:c>
      <x:c r="G1" s="35" t="str">
        <x:v>Gross_Profit</x:v>
      </x:c>
      <x:c r="H1" s="36" t="str">
        <x:v>Gross_Margin_Pct</x:v>
      </x:c>
      <x:c r="I1" s="34" t="str">
        <x:v>Project_Status</x:v>
      </x:c>
      <x:c r="J1" s="34" t="str">
        <x:v>Notes</x:v>
      </x:c>
    </x:row>
    <x:row r="2">
      <x:c r="A2" s="37" t="n">
        <x:v>2025</x:v>
      </x:c>
      <x:c r="B2" s="37" t="str">
        <x:v>P001</x:v>
      </x:c>
      <x:c r="C2" s="37" t="str">
        <x:v>Customer A</x:v>
      </x:c>
      <x:c r="D2" s="37" t="str">
        <x:v>Managed Service</x:v>
      </x:c>
      <x:c r="E2" s="37" t="n">
        <x:v>25000000000</x:v>
      </x:c>
      <x:c r="F2" s="37" t="n">
        <x:v>19000000000</x:v>
      </x:c>
      <x:c r="G2" s="37" t="n">
        <x:f>E2-F2</x:f>
        <x:v>6000000000</x:v>
      </x:c>
      <x:c r="H2" s="37" t="n">
        <x:f>IF(E2&gt;0,G2/E2,"")</x:f>
        <x:v>0.24</x:v>
      </x:c>
      <x:c r="I2" s="37" t="str">
        <x:v>Active</x:v>
      </x:c>
      <x:c r="J2" s="37" t="str">
        <x:v>Sample</x:v>
      </x:c>
    </x:row>
    <x:row r="3">
      <x:c r="A3" s="37" t="n">
        <x:v>2025</x:v>
      </x:c>
      <x:c r="B3" s="37" t="str">
        <x:v>P002</x:v>
      </x:c>
      <x:c r="C3" s="37" t="str">
        <x:v>Customer B</x:v>
      </x:c>
      <x:c r="D3" s="37" t="str">
        <x:v>Network Deployment</x:v>
      </x:c>
      <x:c r="E3" s="37" t="n">
        <x:v>18000000000</x:v>
      </x:c>
      <x:c r="F3" s="37" t="n">
        <x:v>14200000000</x:v>
      </x:c>
      <x:c r="G3" s="37" t="n">
        <x:f>E3-F3</x:f>
        <x:v>3800000000</x:v>
      </x:c>
      <x:c r="H3" s="37" t="n">
        <x:f>IF(E3&gt;0,G3/E3,"")</x:f>
        <x:v>0.2111111111111111</x:v>
      </x:c>
      <x:c r="I3" s="37" t="str">
        <x:v>Closed</x:v>
      </x:c>
      <x:c r="J3" s="37" t="str">
        <x:v>Sample</x:v>
      </x:c>
    </x:row>
    <x:row r="4">
      <x:c r="A4" s="37" t="n">
        <x:v>2025</x:v>
      </x:c>
      <x:c r="B4" s="37" t="str">
        <x:v>P003</x:v>
      </x:c>
      <x:c r="C4" s="37" t="str">
        <x:v>Customer C</x:v>
      </x:c>
      <x:c r="D4" s="37" t="str">
        <x:v>Maintenance</x:v>
      </x:c>
      <x:c r="E4" s="37" t="n">
        <x:v>12000000000</x:v>
      </x:c>
      <x:c r="F4" s="37" t="n">
        <x:v>8900000000</x:v>
      </x:c>
      <x:c r="G4" s="37" t="n">
        <x:f>E4-F4</x:f>
        <x:v>3100000000</x:v>
      </x:c>
      <x:c r="H4" s="37" t="n">
        <x:f>IF(E4&gt;0,G4/E4,"")</x:f>
        <x:v>0.25833333333333336</x:v>
      </x:c>
      <x:c r="I4" s="37" t="str">
        <x:v>Active</x:v>
      </x:c>
      <x:c r="J4" s="37" t="str">
        <x:v>Sample</x:v>
      </x:c>
    </x:row>
    <x:row r="5">
      <x:c r="A5" s="37" t="n">
        <x:v>2026</x:v>
      </x:c>
      <x:c r="B5" s="37" t="str">
        <x:v>P004</x:v>
      </x:c>
      <x:c r="C5" s="37" t="str">
        <x:v>Customer D</x:v>
      </x:c>
      <x:c r="D5" s="37" t="str">
        <x:v>Managed Service</x:v>
      </x:c>
      <x:c r="E5" s="37" t="n">
        <x:v>31000000000</x:v>
      </x:c>
      <x:c r="F5" s="37" t="n">
        <x:v>22400000000</x:v>
      </x:c>
      <x:c r="G5" s="37" t="n">
        <x:f>E5-F5</x:f>
        <x:v>8600000000</x:v>
      </x:c>
      <x:c r="H5" s="37" t="n">
        <x:f>IF(E5&gt;0,G5/E5,"")</x:f>
        <x:v>0.27741935483870966</x:v>
      </x:c>
      <x:c r="I5" s="37" t="str">
        <x:v>Active</x:v>
      </x:c>
      <x:c r="J5" s="37" t="str">
        <x:v>Sample 2026</x:v>
      </x:c>
    </x:row>
    <x:row r="6">
      <x:c r="A6" s="37" t="n">
        <x:v>2026</x:v>
      </x:c>
      <x:c r="B6" s="37" t="str">
        <x:v>P005</x:v>
      </x:c>
      <x:c r="C6" s="37" t="str">
        <x:v>Customer E</x:v>
      </x:c>
      <x:c r="D6" s="37" t="str">
        <x:v>Network Deployment</x:v>
      </x:c>
      <x:c r="E6" s="37" t="n">
        <x:v>21000000000</x:v>
      </x:c>
      <x:c r="F6" s="37" t="n">
        <x:v>15800000000</x:v>
      </x:c>
      <x:c r="G6" s="37" t="n">
        <x:f>E6-F6</x:f>
        <x:v>5200000000</x:v>
      </x:c>
      <x:c r="H6" s="37" t="n">
        <x:f>IF(E6&gt;0,G6/E6,"")</x:f>
        <x:v>0.24761904761904763</x:v>
      </x:c>
      <x:c r="I6" s="37" t="str">
        <x:v>Active</x:v>
      </x:c>
      <x:c r="J6" s="37" t="str">
        <x:v>Sample 2026</x:v>
      </x:c>
    </x:row>
    <x:row r="7">
      <x:c r="A7" s="37" t="n">
        <x:v>2026</x:v>
      </x:c>
      <x:c r="B7" s="37" t="str">
        <x:v>P006</x:v>
      </x:c>
      <x:c r="C7" s="37" t="str">
        <x:v>Customer F</x:v>
      </x:c>
      <x:c r="D7" s="37" t="str">
        <x:v>Maintenance</x:v>
      </x:c>
      <x:c r="E7" s="37" t="n">
        <x:v>14500000000</x:v>
      </x:c>
      <x:c r="F7" s="37" t="n">
        <x:v>10500000000</x:v>
      </x:c>
      <x:c r="G7" s="37" t="n">
        <x:f>E7-F7</x:f>
        <x:v>4000000000</x:v>
      </x:c>
      <x:c r="H7" s="37" t="n">
        <x:f>IF(E7&gt;0,G7/E7,"")</x:f>
        <x:v>0.27586206896551724</x:v>
      </x:c>
      <x:c r="I7" s="37" t="str">
        <x:v>Active</x:v>
      </x:c>
      <x:c r="J7" s="37" t="str">
        <x:v>Sample 2026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422381bfca8406d"/>
    <x:tablePart xmlns:r="http://schemas.openxmlformats.org/officeDocument/2006/relationships" r:id="R07c4d913f61d4e4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4" t="str">
        <x:v>Year</x:v>
      </x:c>
      <x:c r="B1" s="34" t="str">
        <x:v>Dept_ID</x:v>
      </x:c>
      <x:c r="C1" s="36" t="str">
        <x:v>Avg_Utilization_Pct</x:v>
      </x:c>
      <x:c r="D1" s="34" t="str">
        <x:v>Overtime_Hours</x:v>
      </x:c>
      <x:c r="E1" s="34" t="str">
        <x:v>Backlog_Count</x:v>
      </x:c>
      <x:c r="F1" s="34" t="str">
        <x:v>SLA_Breach_Count</x:v>
      </x:c>
      <x:c r="G1" s="34" t="str">
        <x:v>Incident_Count</x:v>
      </x:c>
      <x:c r="H1" s="34" t="str">
        <x:v>Turnover_Count</x:v>
      </x:c>
      <x:c r="I1" s="34" t="str">
        <x:v>Critical_Role_Dependency</x:v>
      </x:c>
      <x:c r="J1" s="34" t="str">
        <x:v>Notes</x:v>
      </x:c>
    </x:row>
    <x:row r="2">
      <x:c r="A2" s="37" t="n">
        <x:v>2021</x:v>
      </x:c>
      <x:c r="B2" s="37" t="str">
        <x:v>D001</x:v>
      </x:c>
      <x:c r="C2" s="37" t="n">
        <x:v>0.78</x:v>
      </x:c>
      <x:c r="D2" s="37" t="n">
        <x:v>120</x:v>
      </x:c>
      <x:c r="E2" s="37" t="n">
        <x:v>8</x:v>
      </x:c>
      <x:c r="F2" s="37" t="n">
        <x:v>0</x:v>
      </x:c>
      <x:c r="G2" s="37" t="n">
        <x:v>2</x:v>
      </x:c>
      <x:c r="H2" s="37" t="n">
        <x:v>0</x:v>
      </x:c>
      <x:c r="I2" s="37" t="str">
        <x:v>Medium</x:v>
      </x:c>
      <x:c r="J2" s="37" t="str">
        <x:v>Sample</x:v>
      </x:c>
    </x:row>
    <x:row r="3">
      <x:c r="A3" s="37" t="n">
        <x:v>2021</x:v>
      </x:c>
      <x:c r="B3" s="37" t="str">
        <x:v>D002</x:v>
      </x:c>
      <x:c r="C3" s="37" t="n">
        <x:v>0.86</x:v>
      </x:c>
      <x:c r="D3" s="37" t="n">
        <x:v>420</x:v>
      </x:c>
      <x:c r="E3" s="37" t="n">
        <x:v>24</x:v>
      </x:c>
      <x:c r="F3" s="37" t="n">
        <x:v>2</x:v>
      </x:c>
      <x:c r="G3" s="37" t="n">
        <x:v>8</x:v>
      </x:c>
      <x:c r="H3" s="37" t="n">
        <x:v>1</x:v>
      </x:c>
      <x:c r="I3" s="37" t="str">
        <x:v>High</x:v>
      </x:c>
      <x:c r="J3" s="37" t="str">
        <x:v>Sample</x:v>
      </x:c>
    </x:row>
    <x:row r="4">
      <x:c r="A4" s="37" t="n">
        <x:v>2021</x:v>
      </x:c>
      <x:c r="B4" s="37" t="str">
        <x:v>D005</x:v>
      </x:c>
      <x:c r="C4" s="37" t="n">
        <x:v>0.88</x:v>
      </x:c>
      <x:c r="D4" s="37" t="n">
        <x:v>360</x:v>
      </x:c>
      <x:c r="E4" s="37" t="n">
        <x:v>20</x:v>
      </x:c>
      <x:c r="F4" s="37" t="n">
        <x:v>1</x:v>
      </x:c>
      <x:c r="G4" s="37" t="n">
        <x:v>6</x:v>
      </x:c>
      <x:c r="H4" s="37" t="n">
        <x:v>1</x:v>
      </x:c>
      <x:c r="I4" s="37" t="str">
        <x:v>High</x:v>
      </x:c>
      <x:c r="J4" s="37" t="str">
        <x:v>Sample</x:v>
      </x:c>
    </x:row>
    <x:row r="5">
      <x:c r="A5" s="37" t="n">
        <x:v>2021</x:v>
      </x:c>
      <x:c r="B5" s="37" t="str">
        <x:v>D003</x:v>
      </x:c>
      <x:c r="C5" s="37" t="n">
        <x:v>0.7</x:v>
      </x:c>
      <x:c r="D5" s="37" t="n">
        <x:v>60</x:v>
      </x:c>
      <x:c r="E5" s="37" t="n">
        <x:v>3</x:v>
      </x:c>
      <x:c r="F5" s="37" t="n">
        <x:v>0</x:v>
      </x:c>
      <x:c r="G5" s="37" t="n">
        <x:v>1</x:v>
      </x:c>
      <x:c r="H5" s="37" t="n">
        <x:v>0</x:v>
      </x:c>
      <x:c r="I5" s="37" t="str">
        <x:v>Low</x:v>
      </x:c>
      <x:c r="J5" s="37" t="str">
        <x:v>Sample</x:v>
      </x:c>
    </x:row>
    <x:row r="6">
      <x:c r="A6" s="37" t="n">
        <x:v>2022</x:v>
      </x:c>
      <x:c r="B6" s="37" t="str">
        <x:v>D001</x:v>
      </x:c>
      <x:c r="C6" s="37" t="n">
        <x:v>0.78</x:v>
      </x:c>
      <x:c r="D6" s="37" t="n">
        <x:v>120</x:v>
      </x:c>
      <x:c r="E6" s="37" t="n">
        <x:v>8</x:v>
      </x:c>
      <x:c r="F6" s="37" t="n">
        <x:v>0</x:v>
      </x:c>
      <x:c r="G6" s="37" t="n">
        <x:v>2</x:v>
      </x:c>
      <x:c r="H6" s="37" t="n">
        <x:v>0</x:v>
      </x:c>
      <x:c r="I6" s="37" t="str">
        <x:v>Medium</x:v>
      </x:c>
      <x:c r="J6" s="37" t="str">
        <x:v>Sample</x:v>
      </x:c>
    </x:row>
    <x:row r="7">
      <x:c r="A7" s="37" t="n">
        <x:v>2022</x:v>
      </x:c>
      <x:c r="B7" s="37" t="str">
        <x:v>D002</x:v>
      </x:c>
      <x:c r="C7" s="37" t="n">
        <x:v>0.86</x:v>
      </x:c>
      <x:c r="D7" s="37" t="n">
        <x:v>420</x:v>
      </x:c>
      <x:c r="E7" s="37" t="n">
        <x:v>24</x:v>
      </x:c>
      <x:c r="F7" s="37" t="n">
        <x:v>2</x:v>
      </x:c>
      <x:c r="G7" s="37" t="n">
        <x:v>8</x:v>
      </x:c>
      <x:c r="H7" s="37" t="n">
        <x:v>1</x:v>
      </x:c>
      <x:c r="I7" s="37" t="str">
        <x:v>High</x:v>
      </x:c>
      <x:c r="J7" s="37" t="str">
        <x:v>Sample</x:v>
      </x:c>
    </x:row>
    <x:row r="8">
      <x:c r="A8" s="37" t="n">
        <x:v>2022</x:v>
      </x:c>
      <x:c r="B8" s="37" t="str">
        <x:v>D005</x:v>
      </x:c>
      <x:c r="C8" s="37" t="n">
        <x:v>0.88</x:v>
      </x:c>
      <x:c r="D8" s="37" t="n">
        <x:v>360</x:v>
      </x:c>
      <x:c r="E8" s="37" t="n">
        <x:v>20</x:v>
      </x:c>
      <x:c r="F8" s="37" t="n">
        <x:v>1</x:v>
      </x:c>
      <x:c r="G8" s="37" t="n">
        <x:v>6</x:v>
      </x:c>
      <x:c r="H8" s="37" t="n">
        <x:v>1</x:v>
      </x:c>
      <x:c r="I8" s="37" t="str">
        <x:v>High</x:v>
      </x:c>
      <x:c r="J8" s="37" t="str">
        <x:v>Sample</x:v>
      </x:c>
    </x:row>
    <x:row r="9">
      <x:c r="A9" s="37" t="n">
        <x:v>2022</x:v>
      </x:c>
      <x:c r="B9" s="37" t="str">
        <x:v>D003</x:v>
      </x:c>
      <x:c r="C9" s="37" t="n">
        <x:v>0.7</x:v>
      </x:c>
      <x:c r="D9" s="37" t="n">
        <x:v>60</x:v>
      </x:c>
      <x:c r="E9" s="37" t="n">
        <x:v>3</x:v>
      </x:c>
      <x:c r="F9" s="37" t="n">
        <x:v>0</x:v>
      </x:c>
      <x:c r="G9" s="37" t="n">
        <x:v>1</x:v>
      </x:c>
      <x:c r="H9" s="37" t="n">
        <x:v>0</x:v>
      </x:c>
      <x:c r="I9" s="37" t="str">
        <x:v>Low</x:v>
      </x:c>
      <x:c r="J9" s="37" t="str">
        <x:v>Sample</x:v>
      </x:c>
    </x:row>
    <x:row r="10">
      <x:c r="A10" s="37" t="n">
        <x:v>2023</x:v>
      </x:c>
      <x:c r="B10" s="37" t="str">
        <x:v>D001</x:v>
      </x:c>
      <x:c r="C10" s="37" t="n">
        <x:v>0.78</x:v>
      </x:c>
      <x:c r="D10" s="37" t="n">
        <x:v>120</x:v>
      </x:c>
      <x:c r="E10" s="37" t="n">
        <x:v>8</x:v>
      </x:c>
      <x:c r="F10" s="37" t="n">
        <x:v>0</x:v>
      </x:c>
      <x:c r="G10" s="37" t="n">
        <x:v>2</x:v>
      </x:c>
      <x:c r="H10" s="37" t="n">
        <x:v>0</x:v>
      </x:c>
      <x:c r="I10" s="37" t="str">
        <x:v>Medium</x:v>
      </x:c>
      <x:c r="J10" s="37" t="str">
        <x:v>Sample</x:v>
      </x:c>
    </x:row>
    <x:row r="11">
      <x:c r="A11" s="37" t="n">
        <x:v>2023</x:v>
      </x:c>
      <x:c r="B11" s="37" t="str">
        <x:v>D002</x:v>
      </x:c>
      <x:c r="C11" s="37" t="n">
        <x:v>0.86</x:v>
      </x:c>
      <x:c r="D11" s="37" t="n">
        <x:v>420</x:v>
      </x:c>
      <x:c r="E11" s="37" t="n">
        <x:v>24</x:v>
      </x:c>
      <x:c r="F11" s="37" t="n">
        <x:v>2</x:v>
      </x:c>
      <x:c r="G11" s="37" t="n">
        <x:v>8</x:v>
      </x:c>
      <x:c r="H11" s="37" t="n">
        <x:v>1</x:v>
      </x:c>
      <x:c r="I11" s="37" t="str">
        <x:v>High</x:v>
      </x:c>
      <x:c r="J11" s="37" t="str">
        <x:v>Sample</x:v>
      </x:c>
    </x:row>
    <x:row r="12">
      <x:c r="A12" s="37" t="n">
        <x:v>2023</x:v>
      </x:c>
      <x:c r="B12" s="37" t="str">
        <x:v>D005</x:v>
      </x:c>
      <x:c r="C12" s="37" t="n">
        <x:v>0.88</x:v>
      </x:c>
      <x:c r="D12" s="37" t="n">
        <x:v>360</x:v>
      </x:c>
      <x:c r="E12" s="37" t="n">
        <x:v>20</x:v>
      </x:c>
      <x:c r="F12" s="37" t="n">
        <x:v>1</x:v>
      </x:c>
      <x:c r="G12" s="37" t="n">
        <x:v>6</x:v>
      </x:c>
      <x:c r="H12" s="37" t="n">
        <x:v>1</x:v>
      </x:c>
      <x:c r="I12" s="37" t="str">
        <x:v>High</x:v>
      </x:c>
      <x:c r="J12" s="37" t="str">
        <x:v>Sample</x:v>
      </x:c>
    </x:row>
    <x:row r="13">
      <x:c r="A13" s="37" t="n">
        <x:v>2023</x:v>
      </x:c>
      <x:c r="B13" s="37" t="str">
        <x:v>D003</x:v>
      </x:c>
      <x:c r="C13" s="37" t="n">
        <x:v>0.7</x:v>
      </x:c>
      <x:c r="D13" s="37" t="n">
        <x:v>60</x:v>
      </x:c>
      <x:c r="E13" s="37" t="n">
        <x:v>3</x:v>
      </x:c>
      <x:c r="F13" s="37" t="n">
        <x:v>0</x:v>
      </x:c>
      <x:c r="G13" s="37" t="n">
        <x:v>1</x:v>
      </x:c>
      <x:c r="H13" s="37" t="n">
        <x:v>0</x:v>
      </x:c>
      <x:c r="I13" s="37" t="str">
        <x:v>Low</x:v>
      </x:c>
      <x:c r="J13" s="37" t="str">
        <x:v>Sample</x:v>
      </x:c>
    </x:row>
    <x:row r="14">
      <x:c r="A14" s="37" t="n">
        <x:v>2024</x:v>
      </x:c>
      <x:c r="B14" s="37" t="str">
        <x:v>D001</x:v>
      </x:c>
      <x:c r="C14" s="37" t="n">
        <x:v>0.78</x:v>
      </x:c>
      <x:c r="D14" s="37" t="n">
        <x:v>120</x:v>
      </x:c>
      <x:c r="E14" s="37" t="n">
        <x:v>8</x:v>
      </x:c>
      <x:c r="F14" s="37" t="n">
        <x:v>0</x:v>
      </x:c>
      <x:c r="G14" s="37" t="n">
        <x:v>2</x:v>
      </x:c>
      <x:c r="H14" s="37" t="n">
        <x:v>0</x:v>
      </x:c>
      <x:c r="I14" s="37" t="str">
        <x:v>Medium</x:v>
      </x:c>
      <x:c r="J14" s="37" t="str">
        <x:v>Sample</x:v>
      </x:c>
    </x:row>
    <x:row r="15">
      <x:c r="A15" s="37" t="n">
        <x:v>2024</x:v>
      </x:c>
      <x:c r="B15" s="37" t="str">
        <x:v>D002</x:v>
      </x:c>
      <x:c r="C15" s="37" t="n">
        <x:v>0.86</x:v>
      </x:c>
      <x:c r="D15" s="37" t="n">
        <x:v>420</x:v>
      </x:c>
      <x:c r="E15" s="37" t="n">
        <x:v>24</x:v>
      </x:c>
      <x:c r="F15" s="37" t="n">
        <x:v>2</x:v>
      </x:c>
      <x:c r="G15" s="37" t="n">
        <x:v>8</x:v>
      </x:c>
      <x:c r="H15" s="37" t="n">
        <x:v>1</x:v>
      </x:c>
      <x:c r="I15" s="37" t="str">
        <x:v>High</x:v>
      </x:c>
      <x:c r="J15" s="37" t="str">
        <x:v>Sample</x:v>
      </x:c>
    </x:row>
    <x:row r="16">
      <x:c r="A16" s="37" t="n">
        <x:v>2024</x:v>
      </x:c>
      <x:c r="B16" s="37" t="str">
        <x:v>D005</x:v>
      </x:c>
      <x:c r="C16" s="37" t="n">
        <x:v>0.88</x:v>
      </x:c>
      <x:c r="D16" s="37" t="n">
        <x:v>360</x:v>
      </x:c>
      <x:c r="E16" s="37" t="n">
        <x:v>20</x:v>
      </x:c>
      <x:c r="F16" s="37" t="n">
        <x:v>1</x:v>
      </x:c>
      <x:c r="G16" s="37" t="n">
        <x:v>6</x:v>
      </x:c>
      <x:c r="H16" s="37" t="n">
        <x:v>1</x:v>
      </x:c>
      <x:c r="I16" s="37" t="str">
        <x:v>High</x:v>
      </x:c>
      <x:c r="J16" s="37" t="str">
        <x:v>Sample</x:v>
      </x:c>
    </x:row>
    <x:row r="17">
      <x:c r="A17" s="37" t="n">
        <x:v>2024</x:v>
      </x:c>
      <x:c r="B17" s="37" t="str">
        <x:v>D003</x:v>
      </x:c>
      <x:c r="C17" s="37" t="n">
        <x:v>0.7</x:v>
      </x:c>
      <x:c r="D17" s="37" t="n">
        <x:v>60</x:v>
      </x:c>
      <x:c r="E17" s="37" t="n">
        <x:v>3</x:v>
      </x:c>
      <x:c r="F17" s="37" t="n">
        <x:v>0</x:v>
      </x:c>
      <x:c r="G17" s="37" t="n">
        <x:v>1</x:v>
      </x:c>
      <x:c r="H17" s="37" t="n">
        <x:v>0</x:v>
      </x:c>
      <x:c r="I17" s="37" t="str">
        <x:v>Low</x:v>
      </x:c>
      <x:c r="J17" s="37" t="str">
        <x:v>Sample</x:v>
      </x:c>
    </x:row>
    <x:row r="18">
      <x:c r="A18" s="37" t="n">
        <x:v>2025</x:v>
      </x:c>
      <x:c r="B18" s="37" t="str">
        <x:v>D001</x:v>
      </x:c>
      <x:c r="C18" s="37" t="n">
        <x:v>0.78</x:v>
      </x:c>
      <x:c r="D18" s="37" t="n">
        <x:v>120</x:v>
      </x:c>
      <x:c r="E18" s="37" t="n">
        <x:v>8</x:v>
      </x:c>
      <x:c r="F18" s="37" t="n">
        <x:v>0</x:v>
      </x:c>
      <x:c r="G18" s="37" t="n">
        <x:v>2</x:v>
      </x:c>
      <x:c r="H18" s="37" t="n">
        <x:v>0</x:v>
      </x:c>
      <x:c r="I18" s="37" t="str">
        <x:v>Medium</x:v>
      </x:c>
      <x:c r="J18" s="37" t="str">
        <x:v>Sample</x:v>
      </x:c>
    </x:row>
    <x:row r="19">
      <x:c r="A19" s="37" t="n">
        <x:v>2025</x:v>
      </x:c>
      <x:c r="B19" s="37" t="str">
        <x:v>D002</x:v>
      </x:c>
      <x:c r="C19" s="37" t="n">
        <x:v>0.86</x:v>
      </x:c>
      <x:c r="D19" s="37" t="n">
        <x:v>420</x:v>
      </x:c>
      <x:c r="E19" s="37" t="n">
        <x:v>24</x:v>
      </x:c>
      <x:c r="F19" s="37" t="n">
        <x:v>2</x:v>
      </x:c>
      <x:c r="G19" s="37" t="n">
        <x:v>8</x:v>
      </x:c>
      <x:c r="H19" s="37" t="n">
        <x:v>1</x:v>
      </x:c>
      <x:c r="I19" s="37" t="str">
        <x:v>High</x:v>
      </x:c>
      <x:c r="J19" s="37" t="str">
        <x:v>Sample</x:v>
      </x:c>
    </x:row>
    <x:row r="20">
      <x:c r="A20" s="37" t="n">
        <x:v>2025</x:v>
      </x:c>
      <x:c r="B20" s="37" t="str">
        <x:v>D005</x:v>
      </x:c>
      <x:c r="C20" s="37" t="n">
        <x:v>0.88</x:v>
      </x:c>
      <x:c r="D20" s="37" t="n">
        <x:v>360</x:v>
      </x:c>
      <x:c r="E20" s="37" t="n">
        <x:v>20</x:v>
      </x:c>
      <x:c r="F20" s="37" t="n">
        <x:v>1</x:v>
      </x:c>
      <x:c r="G20" s="37" t="n">
        <x:v>6</x:v>
      </x:c>
      <x:c r="H20" s="37" t="n">
        <x:v>1</x:v>
      </x:c>
      <x:c r="I20" s="37" t="str">
        <x:v>High</x:v>
      </x:c>
      <x:c r="J20" s="37" t="str">
        <x:v>Sample</x:v>
      </x:c>
    </x:row>
    <x:row r="21">
      <x:c r="A21" s="37" t="n">
        <x:v>2025</x:v>
      </x:c>
      <x:c r="B21" s="37" t="str">
        <x:v>D003</x:v>
      </x:c>
      <x:c r="C21" s="37" t="n">
        <x:v>0.7</x:v>
      </x:c>
      <x:c r="D21" s="37" t="n">
        <x:v>60</x:v>
      </x:c>
      <x:c r="E21" s="37" t="n">
        <x:v>3</x:v>
      </x:c>
      <x:c r="F21" s="37" t="n">
        <x:v>0</x:v>
      </x:c>
      <x:c r="G21" s="37" t="n">
        <x:v>1</x:v>
      </x:c>
      <x:c r="H21" s="37" t="n">
        <x:v>0</x:v>
      </x:c>
      <x:c r="I21" s="37" t="str">
        <x:v>Low</x:v>
      </x:c>
      <x:c r="J21" s="37" t="str">
        <x:v>Sample</x:v>
      </x:c>
    </x:row>
    <x:row r="22">
      <x:c r="A22" s="37" t="n">
        <x:v>2026</x:v>
      </x:c>
      <x:c r="B22" s="37" t="str">
        <x:v>D001</x:v>
      </x:c>
      <x:c r="C22" s="37" t="n">
        <x:v>0.8</x:v>
      </x:c>
      <x:c r="D22" s="37" t="n">
        <x:v>140</x:v>
      </x:c>
      <x:c r="E22" s="37" t="n">
        <x:v>9</x:v>
      </x:c>
      <x:c r="F22" s="37" t="n">
        <x:v>0</x:v>
      </x:c>
      <x:c r="G22" s="37" t="n">
        <x:v>2</x:v>
      </x:c>
      <x:c r="H22" s="37" t="n">
        <x:v>0</x:v>
      </x:c>
      <x:c r="I22" s="37" t="str">
        <x:v>Medium</x:v>
      </x:c>
      <x:c r="J22" s="37" t="str">
        <x:v>Sample 2026</x:v>
      </x:c>
    </x:row>
    <x:row r="23">
      <x:c r="A23" s="37" t="n">
        <x:v>2026</x:v>
      </x:c>
      <x:c r="B23" s="37" t="str">
        <x:v>D002</x:v>
      </x:c>
      <x:c r="C23" s="37" t="n">
        <x:v>0.87</x:v>
      </x:c>
      <x:c r="D23" s="37" t="n">
        <x:v>460</x:v>
      </x:c>
      <x:c r="E23" s="37" t="n">
        <x:v>26</x:v>
      </x:c>
      <x:c r="F23" s="37" t="n">
        <x:v>2</x:v>
      </x:c>
      <x:c r="G23" s="37" t="n">
        <x:v>9</x:v>
      </x:c>
      <x:c r="H23" s="37" t="n">
        <x:v>1</x:v>
      </x:c>
      <x:c r="I23" s="37" t="str">
        <x:v>High</x:v>
      </x:c>
      <x:c r="J23" s="37" t="str">
        <x:v>Sample 2026</x:v>
      </x:c>
    </x:row>
    <x:row r="24">
      <x:c r="A24" s="37" t="n">
        <x:v>2026</x:v>
      </x:c>
      <x:c r="B24" s="37" t="str">
        <x:v>D005</x:v>
      </x:c>
      <x:c r="C24" s="37" t="n">
        <x:v>0.89</x:v>
      </x:c>
      <x:c r="D24" s="37" t="n">
        <x:v>390</x:v>
      </x:c>
      <x:c r="E24" s="37" t="n">
        <x:v>22</x:v>
      </x:c>
      <x:c r="F24" s="37" t="n">
        <x:v>1</x:v>
      </x:c>
      <x:c r="G24" s="37" t="n">
        <x:v>7</x:v>
      </x:c>
      <x:c r="H24" s="37" t="n">
        <x:v>1</x:v>
      </x:c>
      <x:c r="I24" s="37" t="str">
        <x:v>High</x:v>
      </x:c>
      <x:c r="J24" s="37" t="str">
        <x:v>Sample 2026</x:v>
      </x:c>
    </x:row>
    <x:row r="25">
      <x:c r="A25" s="37" t="n">
        <x:v>2026</x:v>
      </x:c>
      <x:c r="B25" s="37" t="str">
        <x:v>D003</x:v>
      </x:c>
      <x:c r="C25" s="37" t="n">
        <x:v>0.71</x:v>
      </x:c>
      <x:c r="D25" s="37" t="n">
        <x:v>70</x:v>
      </x:c>
      <x:c r="E25" s="37" t="n">
        <x:v>3</x:v>
      </x:c>
      <x:c r="F25" s="37" t="n">
        <x:v>0</x:v>
      </x:c>
      <x:c r="G25" s="37" t="n">
        <x:v>1</x:v>
      </x:c>
      <x:c r="H25" s="37" t="n">
        <x:v>0</x:v>
      </x:c>
      <x:c r="I25" s="37" t="str">
        <x:v>Low</x:v>
      </x:c>
      <x:c r="J25" s="37" t="str">
        <x:v>Sample 2026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0c7f9e064644e92"/>
    <x:tablePart xmlns:r="http://schemas.openxmlformats.org/officeDocument/2006/relationships" r:id="Rd31be310f1374d5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</x:cols>
  <x:sheetData>
    <x:row r="1" ht="24" customHeight="1">
      <x:c r="A1" s="27" t="str">
        <x:v>Executive KPI Preview (Excel-side, optional)</x:v>
      </x:c>
    </x:row>
    <x:row r="3">
      <x:c r="A3" s="12" t="str">
        <x:v>Latest Year</x:v>
      </x:c>
      <x:c r="B3" s="12" t="n">
        <x:v>2026</x:v>
      </x:c>
    </x:row>
    <x:row r="4">
      <x:c r="A4" s="6" t="str">
        <x:v>Total Revenue</x:v>
      </x:c>
      <x:c r="B4" s="29" t="n">
        <x:f>SUMIFS(REVENUE_YR!C:C,REVENUE_YR!A:A,B3)</x:f>
        <x:v>98500000000</x:v>
      </x:c>
    </x:row>
    <x:row r="5">
      <x:c r="A5" s="6" t="str">
        <x:v>Total COGS</x:v>
      </x:c>
      <x:c r="B5" s="29" t="n">
        <x:f>SUMIFS(REVENUE_YR!D:D,REVENUE_YR!A:A,B3)</x:f>
        <x:v>72890000000</x:v>
      </x:c>
    </x:row>
    <x:row r="6">
      <x:c r="A6" s="6" t="str">
        <x:v>Gross Margin</x:v>
      </x:c>
      <x:c r="B6" s="19" t="n">
        <x:f>IF(B4&gt;0,(B4-B5)/B4,"")</x:f>
        <x:v>0.26</x:v>
      </x:c>
    </x:row>
    <x:row r="7">
      <x:c r="A7" s="6" t="str">
        <x:v>Total Headcount</x:v>
      </x:c>
      <x:c r="B7" s="31" t="n">
        <x:f>SUMIFS(HEADCOUNT_YR!C:C,HEADCOUNT_YR!A:A,B3)</x:f>
        <x:v>71</x:v>
      </x:c>
    </x:row>
    <x:row r="8">
      <x:c r="A8" s="6" t="str">
        <x:v>Total Manpower Cost</x:v>
      </x:c>
      <x:c r="B8" s="29" t="n">
        <x:f>SUMIFS(PAYROLL_YR!H:H,PAYROLL_YR!A:A,B3)</x:f>
        <x:v>4577400159</x:v>
      </x:c>
    </x:row>
    <x:row r="9">
      <x:c r="A9" s="6" t="str">
        <x:v>RPE</x:v>
      </x:c>
      <x:c r="B9" s="29" t="n">
        <x:f>IF(B7&gt;0,B4/B7,"")</x:f>
        <x:v>1387323943.6619718</x:v>
      </x:c>
    </x:row>
    <x:row r="10">
      <x:c r="A10" s="6" t="str">
        <x:v>MCR</x:v>
      </x:c>
      <x:c r="B10" s="19" t="n">
        <x:f>IF(B4&gt;0,B8/B4,"")</x:f>
        <x:v>0.04647106760406091</x:v>
      </x:c>
    </x:row>
    <x:row r="11">
      <x:c r="A11" s="6" t="str">
        <x:v>Business Posture Hint</x:v>
      </x:c>
      <x:c r="B11" s="33" t="str">
        <x:f>IF(B10&lt;=0.09,"HIGH_LEVERAGE/LOW COST BASE","REVIEW")</x:f>
        <x:v>HIGH_LEVERAGE/LOW COST BASE</x:v>
      </x:c>
    </x:row>
    <x:row r="12">
      <x:c r="A12" s="6" t="str">
        <x:v>Margin Quality Hint</x:v>
      </x:c>
      <x:c r="B12" s="33" t="str">
        <x:f>IF(B6&gt;=0.35,"STRONG",IF(B6&gt;=0.25,"HEALTHY",IF(B6&gt;=0.15,"WATCH",IF(B6&gt;=0.1,"PRESSURE","CRITICAL"))))</x:f>
        <x:v>HEALTHY</x:v>
      </x:c>
    </x:row>
  </x:sheetData>
  <x:conditionalFormatting sqref="B6:B6">
    <x:cfRule type="cellIs" dxfId="0" priority="1" operator="lessThan">
      <x:formula>0.25</x:formula>
    </x:cfRule>
  </x:conditionalFormatting>
  <x:conditionalFormatting sqref="B10:B10">
    <x:cfRule type="cellIs" dxfId="1" priority="2" operator="greaterThan">
      <x:formula>0.09</x:formula>
    </x:cfRule>
  </x:conditionalFormatting>
  <x:pageMargins left="0.7" right="0.7" top="0.75" bottom="0.75" header="0.3" footer="0.3"/>
</x:worksheet>
</file>