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ecc7456bb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519965a4894273"/>
    <x:sheet xmlns:r="http://schemas.openxmlformats.org/officeDocument/2006/relationships" name="PARAMETERS" sheetId="2" r:id="Rf5826c67cd734c25"/>
    <x:sheet xmlns:r="http://schemas.openxmlformats.org/officeDocument/2006/relationships" name="TARGETS" sheetId="3" r:id="Rea7a11b7647d4898"/>
    <x:sheet xmlns:r="http://schemas.openxmlformats.org/officeDocument/2006/relationships" name="FJA_MAPPING" sheetId="4" r:id="Rd304691278e14848"/>
    <x:sheet xmlns:r="http://schemas.openxmlformats.org/officeDocument/2006/relationships" name="DIM_DEPARTMENT" sheetId="5" r:id="R38910575b9344a99"/>
    <x:sheet xmlns:r="http://schemas.openxmlformats.org/officeDocument/2006/relationships" name="DIM_EMPLOYEE" sheetId="6" r:id="R60b7d83afda541c4"/>
    <x:sheet xmlns:r="http://schemas.openxmlformats.org/officeDocument/2006/relationships" name="REVENUE_YR" sheetId="7" r:id="Re23bd28ace134a9e"/>
    <x:sheet xmlns:r="http://schemas.openxmlformats.org/officeDocument/2006/relationships" name="REVENUE_BY_DEPT" sheetId="8" r:id="R698fee6c1d194301"/>
    <x:sheet xmlns:r="http://schemas.openxmlformats.org/officeDocument/2006/relationships" name="HEADCOUNT_YR" sheetId="9" r:id="R8cb5f46b37c04c62"/>
    <x:sheet xmlns:r="http://schemas.openxmlformats.org/officeDocument/2006/relationships" name="PAYROLL_YR" sheetId="10" r:id="Ref940c2416794017"/>
    <x:sheet xmlns:r="http://schemas.openxmlformats.org/officeDocument/2006/relationships" name="HC_MOVEMENT" sheetId="11" r:id="Rea938f5ebd6c4da0"/>
    <x:sheet xmlns:r="http://schemas.openxmlformats.org/officeDocument/2006/relationships" name="PROJECT_MARGIN" sheetId="12" r:id="Raf305c511b4d4e68"/>
    <x:sheet xmlns:r="http://schemas.openxmlformats.org/officeDocument/2006/relationships" name="CAPACITY_INDICATOR" sheetId="13" r:id="R36055ccd75b240be"/>
    <x:sheet xmlns:r="http://schemas.openxmlformats.org/officeDocument/2006/relationships" name="EXEC_SUMMARY" sheetId="14" r:id="R4436821c470d4bb1"/>
    <x:sheet xmlns:r="http://schemas.openxmlformats.org/officeDocument/2006/relationships" name="CALENDAR" sheetId="15" r:id="R6dd31ab369664fc2"/>
    <x:sheet xmlns:r="http://schemas.openxmlformats.org/officeDocument/2006/relationships" name="FINANCIALS" sheetId="16" r:id="Rdbddb2fb57724131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<x:sst xmlns:x="http://schemas.openxmlformats.org/spreadsheetml/2006/main">
  <x:si>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</x:si>
  <x:si>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</x:si>
  <x:si>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</x:si>
  <x:si>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</x:si>
  <x:si>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</x:si>
  <x:si>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</x:si>
  <x:si>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</x:si>
  <x:si>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</x:si>
  <x:si>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</x:si>
  <x:si>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</x:si>
  <x:si>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</x:si>
  <x:si>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</x:si>
  <x:si>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</x:si>
  <x:si>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</x:si>
  <x:si>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</x:si>
  <x:si>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</x:si>
  <x:si>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</x:si>
  <x:si>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</x:si>
  <x:si>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</x:si>
  <x:si>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</x:si>
  <x:si>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</x:si>
  <x:si>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</x:si>
  <x:si>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</x:si>
  <x:si>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</x:si>
  <x:si>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</x:si>
  <x:si>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</x:si>
  <x:si>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</x:si>
  <x:si>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</x:si>
  <x:si>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</x:si>
  <x:si>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</x:si>
  <x:si>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</x:si>
  <x:si>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</x:si>
  <x:si>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</x:si>
  <x:si>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</x:si>
  <x:si>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</x:si>
  <x:si>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</x:si>
  <x:si>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</x:si>
  <x:si>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</x:si>
  <x:si>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</x:si>
  <x:si>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</x:si>
  <x:si>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</x:si>
  <x:si>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</x:si>
  <x:si>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</x:si>
  <x:si>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</x:si>
  <x:si>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</x:si>
  <x:si>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</x:si>
  <x:si>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</x:si>
  <x:si>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</x:si>
  <x:si>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</x:si>
  <x:si>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</x:si>
  <x:si>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</x:si>
  <x:si>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</x:si>
  <x:si>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</x:si>
  <x:si>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</x:si>
  <x:si>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</x:si>
  <x:si>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</x:si>
  <x:si>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</x:si>
  <x:si>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</x:si>
  <x:si>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</x:si>
  <x:si>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</x:si>
  <x:si>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</x:si>
  <x:si>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</x:si>
  <x:si>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</x:si>
  <x:si>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</x:si>
  <x:si>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</x:si>
  <x:si>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</x:si>
  <x:si>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</x:si>
  <x:si>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</x:si>
  <x:si>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</x:si>
  <x:si>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</x:si>
  <x:si>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</x:si>
  <x:si>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</x:si>
  <x:si>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</x:si>
  <x:si>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</x:si>
  <x:si>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</x:si>
  <x:si>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</x:si>
  <x:si>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</x:si>
  <x:si>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</x:si>
  <x:si>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</x:si>
  <x:si>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</x:si>
  <x:si>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</x:si>
  <x:si>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</x:si>
  <x:si>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</x:si>
  <x:si>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</x:si>
  <x:si>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</x:si>
  <x:si>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</x:si>
  <x:si>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</x:si>
  <x:si>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</x:si>
  <x:si>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</x:si>
  <x:si>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</x:si>
  <x:si>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</x:si>
  <x:si>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</x:si>
  <x:si>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</x:si>
  <x:si>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</x:si>
  <x:si>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</x:si>
  <x:si>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</x:si>
  <x:si>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</x:si>
  <x:si>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</x:si>
  <x:si>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</x:si>
  <x:si>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</x:si>
  <x:si>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</x:si>
  <x:si>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</x:si>
  <x:si>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</x:si>
  <x:si>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</x:si>
  <x:si>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</x:si>
  <x:si>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</x:si>
  <x:si>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</x:si>
  <x:si>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</x:si>
  <x:si>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</x:si>
  <x:si>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</x:si>
  <x:si>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</x:si>
  <x:si>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</x:si>
  <x:si>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</x:si>
  <x:si>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</x:si>
  <x:si>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</x:si>
  <x:si>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</x:si>
  <x:si>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</x:si>
  <x:si>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</x:si>
  <x:si>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</x:si>
  <x:si>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</x:si>
  <x:si>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</x:si>
  <x:si>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</x:si>
  <x:si>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</x:si>
  <x:si>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</x:si>
  <x:si>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</x:si>
  <x:si>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</x:si>
  <x:si>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</x:si>
  <x:si>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</x:si>
  <x:si>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</x:si>
  <x:si>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</x:si>
  <x:si>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</x:si>
  <x:si>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</x:si>
  <x:si>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</x:si>
  <x:si>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</x:si>
  <x:si>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</x:si>
  <x:si>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</x:si>
  <x:si>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</x:si>
  <x:si>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</x:si>
  <x:si>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</x:si>
  <x:si>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</x:si>
  <x:si>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</x:si>
  <x:si>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</x:si>
  <x:si>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</x:si>
  <x:si>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</x:si>
  <x:si>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</x:si>
  <x:si>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</x:si>
  <x:si>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</x:si>
  <x:si>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</x:si>
  <x:si>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</x:si>
  <x:si>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</x:si>
  <x:si>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</x:si>
  <x:si>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</x:si>
  <x:si>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</x:si>
  <x:si>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</x:si>
  <x:si>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</x:si>
  <x:si>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</x:si>
  <x:si>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</x:si>
  <x:si>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</x:si>
  <x:si>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</x:si>
  <x:si>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</x:si>
  <x:si>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</x:si>
  <x:si>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</x:si>
  <x:si>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</x:si>
  <x:si>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</x:si>
  <x:si>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</x:si>
  <x:si>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</x:si>
  <x:si>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</x:si>
  <x:si>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</x:si>
  <x:si>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</x:si>
  <x:si>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</x:si>
  <x:si>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</x:si>
  <x:si>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</x:si>
  <x:si>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</x:si>
  <x:si>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</x:si>
  <x:si>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</x:si>
  <x:si>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</x:si>
  <x:si>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</x:si>
  <x:si>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</x:si>
  <x:si>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</x:si>
  <x:si>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</x:si>
  <x:si>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</x:si>
  <x:si>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</x:si>
  <x:si>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</x:si>
  <x:si>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</x:si>
  <x:si>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</x:si>
  <x:si>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</x:si>
  <x:si>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</x:si>
  <x:si>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</x:si>
  <x:si>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</x:si>
  <x:si>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</x:si>
  <x:si>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</x:si>
  <x:si>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</x:si>
  <x:si>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</x:si>
  <x:si>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</x:si>
  <x:si>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</x:si>
  <x:si>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</x:si>
  <x:si>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</x:si>
  <x:si>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</x:si>
  <x:si>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</x:si>
  <x:si>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</x:si>
  <x:si>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</x:si>
  <x:si>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</x:si>
  <x:si>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</x:si>
  <x:si>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</x:si>
  <x:si>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</x:si>
  <x:si>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</x:si>
  <x:si>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</x:si>
  <x:si>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</x:si>
  <x:si>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</x:si>
  <x:si>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</x:si>
  <x:si>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</x:si>
  <x:si>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</x:si>
  <x:si>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</x:si>
  <x:si>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</x:si>
  <x:si>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</x:si>
  <x:si>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</x:si>
  <x:si>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</x:si>
  <x:si>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</x:si>
  <x:si>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</x:si>
  <x:si>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</x:si>
  <x:si>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</x:si>
  <x:si>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</x:si>
  <x:si>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</x:si>
  <x:si>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</x:si>
  <x:si>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</x:si>
  <x:si>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</x:si>
  <x:si>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</x:si>
  <x:si>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</x:si>
  <x:si>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</x:si>
  <x:si>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</x:si>
  <x:si>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</x:si>
  <x:si>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</x:si>
  <x:si>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</x:si>
  <x:si>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</x:si>
  <x:si>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</x:si>
  <x:si>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</x:si>
  <x:si>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</x:si>
  <x:si>
    <x:t xml:space="preserve">Executive KPI Preview (Excel-side, optional)</x:t>
  </x:si>
  <x:si>
    <x:t xml:space="preserve">Latest Year</x:t>
  </x:si>
  <x:si>
    <x:t xml:space="preserve">Total Revenue</x:t>
  </x:si>
  <x:si>
    <x:t xml:space="preserve">Total COGS</x:t>
  </x:si>
  <x:si>
    <x:t xml:space="preserve">Gross Margin</x:t>
  </x:si>
  <x:si>
    <x:t xml:space="preserve">Total Headcount</x:t>
  </x:si>
  <x:si>
    <x:t xml:space="preserve">Total Manpower Cost</x:t>
  </x:si>
  <x:si>
    <x:t xml:space="preserve">RPE</x:t>
  </x:si>
  <x:si>
    <x:t xml:space="preserve">MCR</x:t>
  </x:si>
  <x:si>
    <x:t xml:space="preserve">Business Posture Hint</x:t>
  </x:si>
  <x:si>
    <x:t xml:space="preserve">Margin Quality Hint</x:t>
  </x:si>
  <x:si>
    <x:t xml:space="preserve">Months_Closed</x:t>
  </x:si>
  <x:si>
    <x:t xml:space="preserve">Period_Type</x:t>
  </x:si>
  <x:si>
    <x:t xml:space="preserve">Period_Label</x:t>
  </x:si>
  <x:si>
    <x:t xml:space="preserve">Annualization_Factor</x:t>
  </x:si>
  <x:si>
    <x:t xml:space="preserve">Data_Confidence</x:t>
  </x:si>
  <x:si>
    <x:t xml:space="preserve">FY</x:t>
  </x:si>
  <x:si>
    <x:t xml:space="preserve">FY 2021</x:t>
  </x:si>
  <x:si>
    <x:t xml:space="preserve">Full year actual. Comparable with other FY periods.</x:t>
  </x:si>
  <x:si>
    <x:t xml:space="preserve">FY 2022</x:t>
  </x:si>
  <x:si>
    <x:t xml:space="preserve">FY 2023</x:t>
  </x:si>
  <x:si>
    <x:t xml:space="preserve">FY 2024</x:t>
  </x:si>
  <x:si>
    <x:t xml:space="preserve">FY 2025</x:t>
  </x:si>
  <x:si>
    <x:t xml:space="preserve">YTD</x:t>
  </x:si>
  <x:si>
    <x:t xml:space="preserve">YTD Jun 2026</x:t>
  </x:si>
  <x:si>
    <x:t xml:space="preserve">YTD actual. Use Annualized mode for fair directional comparison vs FY periods.</x:t>
  </x:si>
</x:sst>
</file>

<file path=xl/styles.xml><?xml version="1.0" encoding="utf-8"?>
<x:styleSheet xmlns:x="http://schemas.openxmlformats.org/spreadsheetml/2006/main">
  <x:numFmts count="6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52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7" borderId="0" xfId="0" applyNumberFormat="1" applyFont="1" applyFill="1" applyBorder="1" applyAlignment="1">
      <x:alignment horizontal="center" vertical="center" wrapText="1"/>
    </x:xf>
    <x:xf numFmtId="200" fontId="2" fillId="7" borderId="1" xfId="0" applyNumberFormat="1" applyFont="1" applyFill="1" applyBorder="1" applyAlignment="1">
      <x:alignment horizontal="center" vertical="center" wrapText="1"/>
    </x:xf>
    <x:xf numFmtId="164" fontId="2" fillId="7" borderId="0" xfId="0" applyNumberFormat="1" applyFont="1" applyFill="1" applyBorder="1" applyAlignment="1">
      <x:alignment horizontal="center" vertical="center" wrapText="1"/>
    </x:xf>
    <x:xf numFmtId="164" fontId="2" fillId="7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164" fontId="0" fillId="0" borderId="1" xfId="0" applyNumberFormat="1" applyFont="1" applyFill="1" applyBorder="1"/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1ef66aa394d43" /><Relationship Type="http://schemas.openxmlformats.org/officeDocument/2006/relationships/theme" Target="/xl/theme/theme1.xml" Id="R2fba687c50e14ab8" /><Relationship Type="http://schemas.openxmlformats.org/officeDocument/2006/relationships/sharedStrings" Target="/xl/sharedStrings.xml" Id="R750b466ea618493c" /><Relationship Type="http://schemas.openxmlformats.org/officeDocument/2006/relationships/worksheet" Target="/xl/worksheets/sheet1.xml" Id="R12519965a4894273" /><Relationship Type="http://schemas.openxmlformats.org/officeDocument/2006/relationships/worksheet" Target="/xl/worksheets/sheet2.xml" Id="Rf5826c67cd734c25" /><Relationship Type="http://schemas.openxmlformats.org/officeDocument/2006/relationships/worksheet" Target="/xl/worksheets/sheet3.xml" Id="Rea7a11b7647d4898" /><Relationship Type="http://schemas.openxmlformats.org/officeDocument/2006/relationships/worksheet" Target="/xl/worksheets/sheet4.xml" Id="Rd304691278e14848" /><Relationship Type="http://schemas.openxmlformats.org/officeDocument/2006/relationships/worksheet" Target="/xl/worksheets/sheet5.xml" Id="R38910575b9344a99" /><Relationship Type="http://schemas.openxmlformats.org/officeDocument/2006/relationships/worksheet" Target="/xl/worksheets/sheet6.xml" Id="R60b7d83afda541c4" /><Relationship Type="http://schemas.openxmlformats.org/officeDocument/2006/relationships/worksheet" Target="/xl/worksheets/sheet7.xml" Id="Re23bd28ace134a9e" /><Relationship Type="http://schemas.openxmlformats.org/officeDocument/2006/relationships/worksheet" Target="/xl/worksheets/sheet8.xml" Id="R698fee6c1d194301" /><Relationship Type="http://schemas.openxmlformats.org/officeDocument/2006/relationships/worksheet" Target="/xl/worksheets/sheet9.xml" Id="R8cb5f46b37c04c62" /><Relationship Type="http://schemas.openxmlformats.org/officeDocument/2006/relationships/worksheet" Target="/xl/worksheets/sheet10.xml" Id="Ref940c2416794017" /><Relationship Type="http://schemas.openxmlformats.org/officeDocument/2006/relationships/worksheet" Target="/xl/worksheets/sheet11.xml" Id="Rea938f5ebd6c4da0" /><Relationship Type="http://schemas.openxmlformats.org/officeDocument/2006/relationships/worksheet" Target="/xl/worksheets/sheet12.xml" Id="Raf305c511b4d4e68" /><Relationship Type="http://schemas.openxmlformats.org/officeDocument/2006/relationships/worksheet" Target="/xl/worksheets/sheet13.xml" Id="R36055ccd75b240be" /><Relationship Type="http://schemas.openxmlformats.org/officeDocument/2006/relationships/worksheet" Target="/xl/worksheets/sheet14.xml" Id="R4436821c470d4bb1" /><Relationship Type="http://schemas.openxmlformats.org/officeDocument/2006/relationships/worksheet" Target="/xl/worksheets/sheet15.xml" Id="R6dd31ab369664fc2" /><Relationship Type="http://schemas.openxmlformats.org/officeDocument/2006/relationships/worksheet" Target="/xl/worksheets/sheet16.xml" Id="Rdbddb2fb57724131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ables/table13.xml><?xml version="1.0" encoding="utf-8"?>
<x:table xmlns:x="http://schemas.openxmlformats.org/spreadsheetml/2006/main" id="20" name="FinancialsV3Table" displayName="FinancialsV3Table" ref="A1:AD7" headerRowCount="1">
  <x:tableColumns count="30">
    <x:tableColumn id="1" name="Year"/>
    <x:tableColumn id="2" name="Project_Revenue"/>
    <x:tableColumn id="3" name="Sales_Discount"/>
    <x:tableColumn id="4" name="Net_Revenue"/>
    <x:tableColumn id="5" name="COGS_Direct"/>
    <x:tableColumn id="6" name="Project_Overhead"/>
    <x:tableColumn id="7" name="Gross_Profit"/>
    <x:tableColumn id="8" name="Biaya_Administrasi"/>
    <x:tableColumn id="9" name="Biaya_Marketing"/>
    <x:tableColumn id="10" name="Biaya_Litbang_RnD"/>
    <x:tableColumn id="11" name="Total_Biaya_Operasional"/>
    <x:tableColumn id="12" name="Operating_Profit_EBIT"/>
    <x:tableColumn id="13" name="Other_Income"/>
    <x:tableColumn id="14" name="Other_Expense"/>
    <x:tableColumn id="15" name="Interest_Expense"/>
    <x:tableColumn id="16" name="Total_Other_Income_Expense"/>
    <x:tableColumn id="17" name="Profit_Before_Tax_PBT"/>
    <x:tableColumn id="18" name="PPh_29"/>
    <x:tableColumn id="19" name="PPh_23_42"/>
    <x:tableColumn id="20" name="Total_Tax"/>
    <x:tableColumn id="21" name="Net_Profit"/>
    <x:tableColumn id="22" name="Gross_Margin_Pct"/>
    <x:tableColumn id="23" name="Operating_Margin_Pct"/>
    <x:tableColumn id="24" name="Net_Margin_Pct"/>
    <x:tableColumn id="25" name="Admin_OPEX_Ratio"/>
    <x:tableColumn id="26" name="OPEX_Ratio"/>
    <x:tableColumn id="27" name="Interest_Ratio"/>
    <x:tableColumn id="28" name="Tax_Ratio"/>
    <x:tableColumn id="29" name="Profit_Conversion_Pct"/>
    <x:tableColumn id="3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47c0e44181449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abaacd9635c49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75768da395e46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62f827ddeab40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95716f308164a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7130c518f9f4f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00db2a73c1942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875033f6f084e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c73ddff0bb41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3aaaa97172d47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fc4d54800714e5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d42975e6267f4c8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be12409144e4d01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  <x:col min="6" max="6" width="34" hidden="0" customWidth="1"/>
    <x:col min="7" max="7" width="15" hidden="0" customWidth="1"/>
    <x:col min="8" max="8" width="10" hidden="0" customWidth="1"/>
    <x:col min="9" max="9" width="52" hidden="0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</x:row>
    <x:row r="39">
      <x:c r="F39" s="39" t="str">
        <x:v>V3 Financial Targets</x:v>
      </x:c>
      <x:c r="G39" s="39" t="str">
        <x:v>Target_Value</x:v>
      </x:c>
      <x:c r="H39" s="39" t="str">
        <x:v>Unit</x:v>
      </x:c>
      <x:c r="I39" s="39" t="str">
        <x:v>How to Read</x:v>
      </x:c>
    </x:row>
    <x:row r="40">
      <x:c r="A40" s="45" t="str">
        <x:v>Operating_Margin_Strong_Min</x:v>
      </x:c>
      <x:c r="B40" s="50" t="n">
        <x:v>0.15</x:v>
      </x:c>
      <x:c r="C40" s="45" t="str">
        <x:v>%</x:v>
      </x:c>
      <x:c r="D40" s="45" t="str">
        <x:v>&gt;=15% = Strong operating profit</x:v>
      </x:c>
      <x:c r="F40" s="45" t="str">
        <x:v>Operating_Margin_Strong_Min</x:v>
      </x:c>
      <x:c r="G40" s="50" t="n">
        <x:v>0.15</x:v>
      </x:c>
      <x:c r="H40" s="45" t="str">
        <x:v>%</x:v>
      </x:c>
      <x:c r="I40" s="45" t="str">
        <x:v>&gt;=15% = Strong operating profit</x:v>
      </x:c>
    </x:row>
    <x:row r="41">
      <x:c r="A41" s="45" t="str">
        <x:v>Operating_Margin_Healthy_Min</x:v>
      </x:c>
      <x:c r="B41" s="50" t="n">
        <x:v>0.1</x:v>
      </x:c>
      <x:c r="C41" s="45" t="str">
        <x:v>%</x:v>
      </x:c>
      <x:c r="D41" s="45" t="str">
        <x:v>10-15% = Healthy operating margin</x:v>
      </x:c>
      <x:c r="F41" s="45" t="str">
        <x:v>Operating_Margin_Healthy_Min</x:v>
      </x:c>
      <x:c r="G41" s="50" t="n">
        <x:v>0.1</x:v>
      </x:c>
      <x:c r="H41" s="45" t="str">
        <x:v>%</x:v>
      </x:c>
      <x:c r="I41" s="45" t="str">
        <x:v>10-15% = Healthy operating margin</x:v>
      </x:c>
    </x:row>
    <x:row r="42">
      <x:c r="A42" s="45" t="str">
        <x:v>Operating_Margin_Watch_Min</x:v>
      </x:c>
      <x:c r="B42" s="50" t="n">
        <x:v>0.05</x:v>
      </x:c>
      <x:c r="C42" s="45" t="str">
        <x:v>%</x:v>
      </x:c>
      <x:c r="D42" s="45" t="str">
        <x:v>5-10% = Watch operating margin</x:v>
      </x:c>
      <x:c r="F42" s="45" t="str">
        <x:v>Operating_Margin_Watch_Min</x:v>
      </x:c>
      <x:c r="G42" s="50" t="n">
        <x:v>0.05</x:v>
      </x:c>
      <x:c r="H42" s="45" t="str">
        <x:v>%</x:v>
      </x:c>
      <x:c r="I42" s="45" t="str">
        <x:v>5-10% = Watch operating margin</x:v>
      </x:c>
    </x:row>
    <x:row r="43">
      <x:c r="A43" s="45" t="str">
        <x:v>Operating_Margin_Pressure_Min</x:v>
      </x:c>
      <x:c r="B43" s="50" t="n">
        <x:v>0.02</x:v>
      </x:c>
      <x:c r="C43" s="45" t="str">
        <x:v>%</x:v>
      </x:c>
      <x:c r="D43" s="45" t="str">
        <x:v>2-5% = Pressure operating margin</x:v>
      </x:c>
      <x:c r="F43" s="45" t="str">
        <x:v>Operating_Margin_Pressure_Min</x:v>
      </x:c>
      <x:c r="G43" s="50" t="n">
        <x:v>0.02</x:v>
      </x:c>
      <x:c r="H43" s="45" t="str">
        <x:v>%</x:v>
      </x:c>
      <x:c r="I43" s="45" t="str">
        <x:v>2-5% = Pressure operating margin</x:v>
      </x:c>
    </x:row>
    <x:row r="44">
      <x:c r="A44" s="45" t="str">
        <x:v>Net_Margin_Strong_Min</x:v>
      </x:c>
      <x:c r="B44" s="50" t="n">
        <x:v>0.06</x:v>
      </x:c>
      <x:c r="C44" s="45" t="str">
        <x:v>%</x:v>
      </x:c>
      <x:c r="D44" s="45" t="str">
        <x:v>&gt;=6% = Strong net profit for project-based business</x:v>
      </x:c>
      <x:c r="F44" s="45" t="str">
        <x:v>Net_Margin_Strong_Min</x:v>
      </x:c>
      <x:c r="G44" s="50" t="n">
        <x:v>0.06</x:v>
      </x:c>
      <x:c r="H44" s="45" t="str">
        <x:v>%</x:v>
      </x:c>
      <x:c r="I44" s="45" t="str">
        <x:v>&gt;=6% = Strong net profit for project-based business</x:v>
      </x:c>
    </x:row>
    <x:row r="45">
      <x:c r="A45" s="45" t="str">
        <x:v>Net_Margin_Healthy_Min</x:v>
      </x:c>
      <x:c r="B45" s="50" t="n">
        <x:v>0.04</x:v>
      </x:c>
      <x:c r="C45" s="45" t="str">
        <x:v>%</x:v>
      </x:c>
      <x:c r="D45" s="45" t="str">
        <x:v>4-6% = Healthy net margin</x:v>
      </x:c>
      <x:c r="F45" s="45" t="str">
        <x:v>Net_Margin_Healthy_Min</x:v>
      </x:c>
      <x:c r="G45" s="50" t="n">
        <x:v>0.04</x:v>
      </x:c>
      <x:c r="H45" s="45" t="str">
        <x:v>%</x:v>
      </x:c>
      <x:c r="I45" s="45" t="str">
        <x:v>4-6% = Healthy net margin</x:v>
      </x:c>
    </x:row>
    <x:row r="46">
      <x:c r="A46" s="45" t="str">
        <x:v>Net_Margin_Watch_Min</x:v>
      </x:c>
      <x:c r="B46" s="50" t="n">
        <x:v>0.02</x:v>
      </x:c>
      <x:c r="C46" s="45" t="str">
        <x:v>%</x:v>
      </x:c>
      <x:c r="D46" s="45" t="str">
        <x:v>2-4% = Watch net margin</x:v>
      </x:c>
      <x:c r="F46" s="45" t="str">
        <x:v>Net_Margin_Watch_Min</x:v>
      </x:c>
      <x:c r="G46" s="50" t="n">
        <x:v>0.02</x:v>
      </x:c>
      <x:c r="H46" s="45" t="str">
        <x:v>%</x:v>
      </x:c>
      <x:c r="I46" s="45" t="str">
        <x:v>2-4% = Watch net margin</x:v>
      </x:c>
    </x:row>
    <x:row r="47">
      <x:c r="A47" s="45" t="str">
        <x:v>Net_Margin_Pressure_Min</x:v>
      </x:c>
      <x:c r="B47" s="50" t="n">
        <x:v>0.01</x:v>
      </x:c>
      <x:c r="C47" s="45" t="str">
        <x:v>%</x:v>
      </x:c>
      <x:c r="D47" s="45" t="str">
        <x:v>1-2% = Pressure net margin</x:v>
      </x:c>
      <x:c r="F47" s="45" t="str">
        <x:v>Net_Margin_Pressure_Min</x:v>
      </x:c>
      <x:c r="G47" s="50" t="n">
        <x:v>0.01</x:v>
      </x:c>
      <x:c r="H47" s="45" t="str">
        <x:v>%</x:v>
      </x:c>
      <x:c r="I47" s="45" t="str">
        <x:v>1-2% = Pressure net margin</x:v>
      </x:c>
    </x:row>
    <x:row r="48">
      <x:c r="A48" s="45" t="str">
        <x:v>Admin_OPEX_Ratio_Max</x:v>
      </x:c>
      <x:c r="B48" s="50" t="n">
        <x:v>0.15</x:v>
      </x:c>
      <x:c r="C48" s="45" t="str">
        <x:v>%</x:v>
      </x:c>
      <x:c r="D48" s="45" t="str">
        <x:v>&lt;=15% = Admin OPEX controlled</x:v>
      </x:c>
      <x:c r="F48" s="45" t="str">
        <x:v>Admin_OPEX_Ratio_Max</x:v>
      </x:c>
      <x:c r="G48" s="50" t="n">
        <x:v>0.15</x:v>
      </x:c>
      <x:c r="H48" s="45" t="str">
        <x:v>%</x:v>
      </x:c>
      <x:c r="I48" s="45" t="str">
        <x:v>&lt;=15% = Admin OPEX controlled</x:v>
      </x:c>
    </x:row>
    <x:row r="49">
      <x:c r="A49" s="45" t="str">
        <x:v>OPEX_Ratio_Max</x:v>
      </x:c>
      <x:c r="B49" s="50" t="n">
        <x:v>0.16</x:v>
      </x:c>
      <x:c r="C49" s="45" t="str">
        <x:v>%</x:v>
      </x:c>
      <x:c r="D49" s="45" t="str">
        <x:v>&lt;=16% = Total operating expense controlled</x:v>
      </x:c>
      <x:c r="F49" s="45" t="str">
        <x:v>OPEX_Ratio_Max</x:v>
      </x:c>
      <x:c r="G49" s="50" t="n">
        <x:v>0.16</x:v>
      </x:c>
      <x:c r="H49" s="45" t="str">
        <x:v>%</x:v>
      </x:c>
      <x:c r="I49" s="45" t="str">
        <x:v>&lt;=16% = Total operating expense controlled</x:v>
      </x:c>
    </x:row>
    <x:row r="50">
      <x:c r="A50" s="45" t="str">
        <x:v>Interest_Ratio_Max</x:v>
      </x:c>
      <x:c r="B50" s="50" t="n">
        <x:v>0.05</x:v>
      </x:c>
      <x:c r="C50" s="45" t="str">
        <x:v>%</x:v>
      </x:c>
      <x:c r="D50" s="45" t="str">
        <x:v>&lt;=5% = interest burden still manageable</x:v>
      </x:c>
      <x:c r="F50" s="45" t="str">
        <x:v>Interest_Ratio_Max</x:v>
      </x:c>
      <x:c r="G50" s="50" t="n">
        <x:v>0.05</x:v>
      </x:c>
      <x:c r="H50" s="45" t="str">
        <x:v>%</x:v>
      </x:c>
      <x:c r="I50" s="45" t="str">
        <x:v>&lt;=5% = interest burden still manageable</x:v>
      </x:c>
    </x:row>
    <x:row r="51">
      <x:c r="A51" s="45" t="str">
        <x:v>Tax_Ratio_Max</x:v>
      </x:c>
      <x:c r="B51" s="50" t="n">
        <x:v>0.02</x:v>
      </x:c>
      <x:c r="C51" s="45" t="str">
        <x:v>%</x:v>
      </x:c>
      <x:c r="D51" s="45" t="str">
        <x:v>&lt;=2% = tax ratio reference based on P&amp;L view</x:v>
      </x:c>
      <x:c r="F51" s="45" t="str">
        <x:v>Tax_Ratio_Max</x:v>
      </x:c>
      <x:c r="G51" s="50" t="n">
        <x:v>0.02</x:v>
      </x:c>
      <x:c r="H51" s="45" t="str">
        <x:v>%</x:v>
      </x:c>
      <x:c r="I51" s="45" t="str">
        <x:v>&lt;=2% = tax ratio reference based on P&amp;L view</x:v>
      </x:c>
    </x:row>
    <x:row r="52">
      <x:c r="A52" s="45" t="str">
        <x:v>Profit_Conversion_Healthy_Min</x:v>
      </x:c>
      <x:c r="B52" s="50" t="n">
        <x:v>0.15</x:v>
      </x:c>
      <x:c r="C52" s="45" t="str">
        <x:v>%</x:v>
      </x:c>
      <x:c r="D52" s="45" t="str">
        <x:v>Net Profit / Gross Profit minimum healthy</x:v>
      </x:c>
      <x:c r="F52" s="45" t="str">
        <x:v>Profit_Conversion_Healthy_Min</x:v>
      </x:c>
      <x:c r="G52" s="50" t="n">
        <x:v>0.15</x:v>
      </x:c>
      <x:c r="H52" s="45" t="str">
        <x:v>%</x:v>
      </x:c>
      <x:c r="I52" s="45" t="str">
        <x:v>Net Profit / Gross Profit minimum healthy</x:v>
      </x:c>
    </x:row>
  </x:sheetData>
  <x:pageMargins left="0.7" right="0.7" top="0.75" bottom="0.75" header="0.3" footer="0.3"/>
  <x:tableParts count="1">
    <x:tablePart xmlns:r="http://schemas.openxmlformats.org/officeDocument/2006/relationships" r:id="Rd47c0e441814491c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fabaacd9635c494a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5768da395e46fd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2f827ddeab40a0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19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</x:sheetData>
  <x:pageMargins left="0.7" right="0.7" top="0.75" bottom="0.75" header="0.3" footer="0.3"/>
  <x:tableParts count="1">
    <x:tablePart xmlns:r="http://schemas.openxmlformats.org/officeDocument/2006/relationships" r:id="R895716f308164a18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130c518f9f4fe7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900db2a73c1942ed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75033f6f084e70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e0c73ddff0bb41eb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aaaa97172d47c2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c4d54800714e50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8" customWidth="1"/>
    <x:col min="2" max="2" width="32" customWidth="1"/>
  </x:cols>
  <x:sheetData>
    <x:row r="1" ht="24" customHeight="1">
      <x:c r="A1" s="6" t="s">
        <x:v>237</x:v>
      </x:c>
    </x:row>
    <x:row r="3" ht="15">
      <x:c r="A3" s="3" t="s">
        <x:v>238</x:v>
      </x:c>
      <x:c r="B3" s="3">
        <x:v>2026</x:v>
      </x:c>
    </x:row>
    <x:row r="4">
      <x:c r="A4" s="2" t="s">
        <x:v>239</x:v>
      </x:c>
      <x:c r="B4" s="7" t="n">
        <x:f>SUMIFS(REVENUE_YR!C:C,REVENUE_YR!A:A,B3)</x:f>
        <x:v>20000000000</x:v>
      </x:c>
    </x:row>
    <x:row r="5">
      <x:c r="A5" s="2" t="s">
        <x:v>240</x:v>
      </x:c>
      <x:c r="B5" s="7" t="n">
        <x:f>SUMIFS(REVENUE_YR!D:D,REVENUE_YR!A:A,B3)</x:f>
        <x:v>17000000000</x:v>
      </x:c>
    </x:row>
    <x:row r="6">
      <x:c r="A6" s="2" t="s">
        <x:v>241</x:v>
      </x:c>
      <x:c r="B6" s="4" t="n">
        <x:f>IF(B4&gt;0,(B4-B5)/B4,"")</x:f>
        <x:v>0.15</x:v>
      </x:c>
    </x:row>
    <x:row r="7">
      <x:c r="A7" s="2" t="s">
        <x:v>242</x:v>
      </x:c>
      <x:c r="B7" s="8" t="n">
        <x:f>SUMIFS(HEADCOUNT_YR!C:C,HEADCOUNT_YR!A:A,B3)</x:f>
        <x:v>71</x:v>
      </x:c>
    </x:row>
    <x:row r="8">
      <x:c r="A8" s="2" t="s">
        <x:v>243</x:v>
      </x:c>
      <x:c r="B8" s="7" t="n">
        <x:f>SUMIFS(PAYROLL_YR!H:H,PAYROLL_YR!A:A,B3)</x:f>
        <x:v>4577400159</x:v>
      </x:c>
    </x:row>
    <x:row r="9">
      <x:c r="A9" s="2" t="s">
        <x:v>244</x:v>
      </x:c>
      <x:c r="B9" s="7" t="n">
        <x:f>IF(B7&gt;0,B4/B7,"")</x:f>
        <x:v>281690140.8450704</x:v>
      </x:c>
    </x:row>
    <x:row r="10">
      <x:c r="A10" s="2" t="s">
        <x:v>245</x:v>
      </x:c>
      <x:c r="B10" s="4" t="n">
        <x:f>IF(B4&gt;0,B8/B4,"")</x:f>
        <x:v>0.22887000795</x:v>
      </x:c>
    </x:row>
    <x:row r="11" ht="15">
      <x:c r="A11" s="2" t="s">
        <x:v>246</x:v>
      </x:c>
      <x:c r="B11" s="9" t="str">
        <x:f>IF(B10&lt;=0.09,"HIGH_LEVERAGE/LOW COST BASE","REVIEW")</x:f>
        <x:v>REVIEW</x:v>
      </x:c>
    </x:row>
    <x:row r="12" ht="15">
      <x:c r="A12" s="2" t="s">
        <x:v>247</x:v>
      </x:c>
      <x:c r="B12" s="9" t="str">
        <x:f>IF(B6&gt;=0.35,"STRONG",IF(B6&gt;=0.25,"HEALTHY",IF(B6&gt;=0.15,"WATCH",IF(B6&gt;=0.1,"PRESSURE","CRITICAL"))))</x:f>
        <x:v>WATCH</x:v>
      </x:c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2" customWidth="1"/>
    <x:col min="2" max="2" width="18" customWidth="1"/>
    <x:col min="3" max="3" width="16" customWidth="1"/>
    <x:col min="4" max="4" width="20" customWidth="1"/>
    <x:col min="5" max="5" width="22" customWidth="1"/>
    <x:col min="6" max="6" width="18" customWidth="1"/>
    <x:col min="7" max="7" width="68" customWidth="1"/>
  </x:cols>
  <x:sheetData>
    <x:row r="1" ht="15">
      <x:c r="A1" s="16" t="s">
        <x:v>172</x:v>
      </x:c>
      <x:c r="B1" s="16" t="s">
        <x:v>248</x:v>
      </x:c>
      <x:c r="C1" s="16" t="s">
        <x:v>249</x:v>
      </x:c>
      <x:c r="D1" s="16" t="s">
        <x:v>250</x:v>
      </x:c>
      <x:c r="E1" s="17" t="s">
        <x:v>251</x:v>
      </x:c>
      <x:c r="F1" s="16" t="s">
        <x:v>252</x:v>
      </x:c>
      <x:c r="G1" s="16" t="s">
        <x:v>50</x:v>
      </x:c>
    </x:row>
    <x:row r="2">
      <x:c r="A2" s="14">
        <x:v>2021</x:v>
      </x:c>
      <x:c r="B2" s="14">
        <x:v>12</x:v>
      </x:c>
      <x:c r="C2" s="14" t="s">
        <x:v>253</x:v>
      </x:c>
      <x:c r="D2" s="14" t="s">
        <x:v>254</x:v>
      </x:c>
      <x:c r="E2" s="14" t="n">
        <x:f t="shared" ref="E2:E7" si="0">IF(B2&gt;0,12/B2,"")</x:f>
        <x:v>1</x:v>
      </x:c>
      <x:c r="F2" s="14" t="s">
        <x:v>235</x:v>
      </x:c>
      <x:c r="G2" s="14" t="s">
        <x:v>255</x:v>
      </x:c>
    </x:row>
    <x:row r="3">
      <x:c r="A3" s="14">
        <x:v>2022</x:v>
      </x:c>
      <x:c r="B3" s="14">
        <x:v>12</x:v>
      </x:c>
      <x:c r="C3" s="14" t="s">
        <x:v>253</x:v>
      </x:c>
      <x:c r="D3" s="14" t="s">
        <x:v>256</x:v>
      </x:c>
      <x:c r="E3" s="14">
        <x:f t="shared" si="0"/>
        <x:v>1</x:v>
      </x:c>
      <x:c r="F3" s="14" t="s">
        <x:v>235</x:v>
      </x:c>
      <x:c r="G3" s="14" t="s">
        <x:v>255</x:v>
      </x:c>
    </x:row>
    <x:row r="4">
      <x:c r="A4" s="14">
        <x:v>2023</x:v>
      </x:c>
      <x:c r="B4" s="14">
        <x:v>12</x:v>
      </x:c>
      <x:c r="C4" s="14" t="s">
        <x:v>253</x:v>
      </x:c>
      <x:c r="D4" s="14" t="s">
        <x:v>257</x:v>
      </x:c>
      <x:c r="E4" s="14">
        <x:f t="shared" si="0"/>
        <x:v>1</x:v>
      </x:c>
      <x:c r="F4" s="14" t="s">
        <x:v>235</x:v>
      </x:c>
      <x:c r="G4" s="14" t="s">
        <x:v>255</x:v>
      </x:c>
    </x:row>
    <x:row r="5">
      <x:c r="A5" s="14">
        <x:v>2024</x:v>
      </x:c>
      <x:c r="B5" s="14">
        <x:v>12</x:v>
      </x:c>
      <x:c r="C5" s="14" t="s">
        <x:v>253</x:v>
      </x:c>
      <x:c r="D5" s="14" t="s">
        <x:v>258</x:v>
      </x:c>
      <x:c r="E5" s="14">
        <x:f t="shared" si="0"/>
        <x:v>1</x:v>
      </x:c>
      <x:c r="F5" s="14" t="s">
        <x:v>235</x:v>
      </x:c>
      <x:c r="G5" s="14" t="s">
        <x:v>255</x:v>
      </x:c>
    </x:row>
    <x:row r="6">
      <x:c r="A6" s="14">
        <x:v>2025</x:v>
      </x:c>
      <x:c r="B6" s="14">
        <x:v>12</x:v>
      </x:c>
      <x:c r="C6" s="14" t="s">
        <x:v>253</x:v>
      </x:c>
      <x:c r="D6" s="14" t="s">
        <x:v>259</x:v>
      </x:c>
      <x:c r="E6" s="14">
        <x:f t="shared" si="0"/>
        <x:v>1</x:v>
      </x:c>
      <x:c r="F6" s="14" t="s">
        <x:v>235</x:v>
      </x:c>
      <x:c r="G6" s="14" t="s">
        <x:v>255</x:v>
      </x:c>
    </x:row>
    <x:row r="7">
      <x:c r="A7" s="14">
        <x:v>2026</x:v>
      </x:c>
      <x:c r="B7" s="14">
        <x:v>6</x:v>
      </x:c>
      <x:c r="C7" s="14" t="s">
        <x:v>260</x:v>
      </x:c>
      <x:c r="D7" s="14" t="s">
        <x:v>261</x:v>
      </x:c>
      <x:c r="E7" s="14">
        <x:f t="shared" si="0"/>
        <x:v>2</x:v>
      </x:c>
      <x:c r="F7" s="14" t="s">
        <x:v>234</x:v>
      </x:c>
      <x:c r="G7" s="14" t="s">
        <x:v>262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2975e6267f4c8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56" hidden="0" customWidth="1"/>
    <x:col min="32" max="32" width="28" hidden="0" customWidth="1"/>
    <x:col min="33" max="33" width="82" hidden="0" customWidth="1"/>
  </x:cols>
  <x:sheetData>
    <x:row r="1">
      <x:c r="A1" s="39" t="str">
        <x:v>Year</x:v>
      </x:c>
      <x:c r="B1" s="46" t="str">
        <x:v>Project_Revenue</x:v>
      </x:c>
      <x:c r="C1" s="46" t="str">
        <x:v>Sales_Discount</x:v>
      </x:c>
      <x:c r="D1" s="46" t="str">
        <x:v>Net_Revenue</x:v>
      </x:c>
      <x:c r="E1" s="46" t="str">
        <x:v>COGS_Direct</x:v>
      </x:c>
      <x:c r="F1" s="46" t="str">
        <x:v>Project_Overhead</x:v>
      </x:c>
      <x:c r="G1" s="46" t="str">
        <x:v>Gross_Profit</x:v>
      </x:c>
      <x:c r="H1" s="46" t="str">
        <x:v>Biaya_Administrasi</x:v>
      </x:c>
      <x:c r="I1" s="46" t="str">
        <x:v>Biaya_Marketing</x:v>
      </x:c>
      <x:c r="J1" s="46" t="str">
        <x:v>Biaya_Litbang_RnD</x:v>
      </x:c>
      <x:c r="K1" s="46" t="str">
        <x:v>Total_Biaya_Operasional</x:v>
      </x:c>
      <x:c r="L1" s="46" t="str">
        <x:v>Operating_Profit_EBIT</x:v>
      </x:c>
      <x:c r="M1" s="46" t="str">
        <x:v>Other_Income</x:v>
      </x:c>
      <x:c r="N1" s="46" t="str">
        <x:v>Other_Expense</x:v>
      </x:c>
      <x:c r="O1" s="46" t="str">
        <x:v>Interest_Expense</x:v>
      </x:c>
      <x:c r="P1" s="46" t="str">
        <x:v>Total_Other_Income_Expense</x:v>
      </x:c>
      <x:c r="Q1" s="46" t="str">
        <x:v>Profit_Before_Tax_PBT</x:v>
      </x:c>
      <x:c r="R1" s="46" t="str">
        <x:v>PPh_29</x:v>
      </x:c>
      <x:c r="S1" s="46" t="str">
        <x:v>PPh_23_42</x:v>
      </x:c>
      <x:c r="T1" s="46" t="str">
        <x:v>Total_Tax</x:v>
      </x:c>
      <x:c r="U1" s="46" t="str">
        <x:v>Net_Profit</x:v>
      </x:c>
      <x:c r="V1" s="48" t="str">
        <x:v>Gross_Margin_Pct</x:v>
      </x:c>
      <x:c r="W1" s="48" t="str">
        <x:v>Operating_Margin_Pct</x:v>
      </x:c>
      <x:c r="X1" s="48" t="str">
        <x:v>Net_Margin_Pct</x:v>
      </x:c>
      <x:c r="Y1" s="48" t="str">
        <x:v>Admin_OPEX_Ratio</x:v>
      </x:c>
      <x:c r="Z1" s="48" t="str">
        <x:v>OPEX_Ratio</x:v>
      </x:c>
      <x:c r="AA1" s="48" t="str">
        <x:v>Interest_Ratio</x:v>
      </x:c>
      <x:c r="AB1" s="48" t="str">
        <x:v>Tax_Ratio</x:v>
      </x:c>
      <x:c r="AC1" s="48" t="str">
        <x:v>Profit_Conversion_Pct</x:v>
      </x:c>
      <x:c r="AD1" s="39" t="str">
        <x:v>Notes</x:v>
      </x:c>
      <x:c r="AF1" s="39" t="str">
        <x:v>FINANCIALS - Cara Isi</x:v>
      </x:c>
      <x:c r="AG1" s="39" t="str">
        <x:v>Keterangan</x:v>
      </x:c>
    </x:row>
    <x:row r="2">
      <x:c r="A2" s="45" t="n">
        <x:v>2021</x:v>
      </x:c>
      <x:c r="B2" s="45" t="n">
        <x:f>IFERROR(SUMIF(REVENUE_YR!$A:$A,A2,REVENUE_YR!$C:$C),0)</x:f>
        <x:v>45048932718</x:v>
      </x:c>
      <x:c r="C2" s="45" t="n">
        <x:v>0</x:v>
      </x:c>
      <x:c r="D2" s="45" t="n">
        <x:f>B2-C2</x:f>
        <x:v>45048932718</x:v>
      </x:c>
      <x:c r="E2" s="45" t="n">
        <x:f>IFERROR(SUMIF(REVENUE_YR!$A:$A,A2,REVENUE_YR!$D:$D),0)</x:f>
        <x:v>23425445013</x:v>
      </x:c>
      <x:c r="F2" s="45" t="n">
        <x:v>0</x:v>
      </x:c>
      <x:c r="G2" s="45" t="n">
        <x:f>D2-E2-F2</x:f>
        <x:v>21623487705</x:v>
      </x:c>
      <x:c r="H2" s="45" t="n">
        <x:v>0</x:v>
      </x:c>
      <x:c r="I2" s="45" t="n">
        <x:v>0</x:v>
      </x:c>
      <x:c r="J2" s="45" t="n">
        <x:v>0</x:v>
      </x:c>
      <x:c r="K2" s="45" t="n">
        <x:f>H2+I2+J2</x:f>
        <x:v>0</x:v>
      </x:c>
      <x:c r="L2" s="45" t="n">
        <x:f>G2-K2</x:f>
        <x:v>21623487705</x:v>
      </x:c>
      <x:c r="M2" s="45" t="n">
        <x:v>0</x:v>
      </x:c>
      <x:c r="N2" s="45" t="n">
        <x:v>0</x:v>
      </x:c>
      <x:c r="O2" s="45" t="n">
        <x:v>0</x:v>
      </x:c>
      <x:c r="P2" s="45" t="n">
        <x:f>M2-N2-O2</x:f>
        <x:v>0</x:v>
      </x:c>
      <x:c r="Q2" s="45" t="n">
        <x:f>L2+P2</x:f>
        <x:v>21623487705</x:v>
      </x:c>
      <x:c r="R2" s="45" t="n">
        <x:v>0</x:v>
      </x:c>
      <x:c r="S2" s="45" t="n">
        <x:v>0</x:v>
      </x:c>
      <x:c r="T2" s="45" t="n">
        <x:f>R2+S2</x:f>
        <x:v>0</x:v>
      </x:c>
      <x:c r="U2" s="45" t="n">
        <x:f>Q2-T2</x:f>
        <x:v>21623487705</x:v>
      </x:c>
      <x:c r="V2" s="45" t="n">
        <x:f>IFERROR(G2/D2,0)</x:f>
        <x:v>0.4800000000079913</x:v>
      </x:c>
      <x:c r="W2" s="45" t="n">
        <x:f>IFERROR(L2/D2,0)</x:f>
        <x:v>0.4800000000079913</x:v>
      </x:c>
      <x:c r="X2" s="45" t="n">
        <x:f>IFERROR(U2/D2,0)</x:f>
        <x:v>0.4800000000079913</x:v>
      </x:c>
      <x:c r="Y2" s="45" t="n">
        <x:f>IFERROR(H2/D2,0)</x:f>
        <x:v>0</x:v>
      </x:c>
      <x:c r="Z2" s="45" t="n">
        <x:f>IFERROR(K2/D2,0)</x:f>
        <x:v>0</x:v>
      </x:c>
      <x:c r="AA2" s="45" t="n">
        <x:f>IFERROR(O2/D2,0)</x:f>
        <x:v>0</x:v>
      </x:c>
      <x:c r="AB2" s="45" t="n">
        <x:f>IFERROR(T2/D2,0)</x:f>
        <x:v>0</x:v>
      </x:c>
      <x:c r="AC2" s="45" t="n">
        <x:f>IFERROR(U2/G2,0)</x:f>
        <x:v>1</x:v>
      </x:c>
      <x:c r="AD2" s="45" t="str">
        <x:v>Isi biaya sesuai laporan laba rugi. Revenue/COGS otomatis dari REVENUE_YR; boleh override jika angka final P&amp;L berbeda.</x:v>
      </x:c>
      <x:c r="AF2" s="2" t="str">
        <x:v>Project_Revenue</x:v>
      </x:c>
      <x:c r="AG2" s="2" t="str">
        <x:v>Pendapatan proyek/penjualan. Default otomatis dari REVENUE_YR kolom Revenue_Recognized.</x:v>
      </x:c>
    </x:row>
    <x:row r="3">
      <x:c r="A3" s="45" t="n">
        <x:v>2022</x:v>
      </x:c>
      <x:c r="B3" s="45" t="n">
        <x:f>IFERROR(SUMIF(REVENUE_YR!$A:$A,A3,REVENUE_YR!$C:$C),0)</x:f>
        <x:v>51100000000</x:v>
      </x:c>
      <x:c r="C3" s="45" t="n">
        <x:v>0</x:v>
      </x:c>
      <x:c r="D3" s="45" t="n">
        <x:f>B3-C3</x:f>
        <x:v>51100000000</x:v>
      </x:c>
      <x:c r="E3" s="45" t="n">
        <x:f>IFERROR(SUMIF(REVENUE_YR!$A:$A,A3,REVENUE_YR!$D:$D),0)</x:f>
        <x:v>27000000000</x:v>
      </x:c>
      <x:c r="F3" s="45" t="n">
        <x:v>0</x:v>
      </x:c>
      <x:c r="G3" s="45" t="n">
        <x:f>D3-E3-F3</x:f>
        <x:v>24100000000</x:v>
      </x:c>
      <x:c r="H3" s="45" t="n">
        <x:v>0</x:v>
      </x:c>
      <x:c r="I3" s="45" t="n">
        <x:v>0</x:v>
      </x:c>
      <x:c r="J3" s="45" t="n">
        <x:v>0</x:v>
      </x:c>
      <x:c r="K3" s="45" t="n">
        <x:f>H3+I3+J3</x:f>
        <x:v>0</x:v>
      </x:c>
      <x:c r="L3" s="45" t="n">
        <x:f>G3-K3</x:f>
        <x:v>24100000000</x:v>
      </x:c>
      <x:c r="M3" s="45" t="n">
        <x:v>0</x:v>
      </x:c>
      <x:c r="N3" s="45" t="n">
        <x:v>0</x:v>
      </x:c>
      <x:c r="O3" s="45" t="n">
        <x:v>0</x:v>
      </x:c>
      <x:c r="P3" s="45" t="n">
        <x:f>M3-N3-O3</x:f>
        <x:v>0</x:v>
      </x:c>
      <x:c r="Q3" s="45" t="n">
        <x:f>L3+P3</x:f>
        <x:v>24100000000</x:v>
      </x:c>
      <x:c r="R3" s="45" t="n">
        <x:v>0</x:v>
      </x:c>
      <x:c r="S3" s="45" t="n">
        <x:v>0</x:v>
      </x:c>
      <x:c r="T3" s="45" t="n">
        <x:f>R3+S3</x:f>
        <x:v>0</x:v>
      </x:c>
      <x:c r="U3" s="45" t="n">
        <x:f>Q3-T3</x:f>
        <x:v>24100000000</x:v>
      </x:c>
      <x:c r="V3" s="45" t="n">
        <x:f>IFERROR(G3/D3,0)</x:f>
        <x:v>0.47162426614481406</x:v>
      </x:c>
      <x:c r="W3" s="45" t="n">
        <x:f>IFERROR(L3/D3,0)</x:f>
        <x:v>0.47162426614481406</x:v>
      </x:c>
      <x:c r="X3" s="45" t="n">
        <x:f>IFERROR(U3/D3,0)</x:f>
        <x:v>0.47162426614481406</x:v>
      </x:c>
      <x:c r="Y3" s="45" t="n">
        <x:f>IFERROR(H3/D3,0)</x:f>
        <x:v>0</x:v>
      </x:c>
      <x:c r="Z3" s="45" t="n">
        <x:f>IFERROR(K3/D3,0)</x:f>
        <x:v>0</x:v>
      </x:c>
      <x:c r="AA3" s="45" t="n">
        <x:f>IFERROR(O3/D3,0)</x:f>
        <x:v>0</x:v>
      </x:c>
      <x:c r="AB3" s="45" t="n">
        <x:f>IFERROR(T3/D3,0)</x:f>
        <x:v>0</x:v>
      </x:c>
      <x:c r="AC3" s="45" t="n">
        <x:f>IFERROR(U3/G3,0)</x:f>
        <x:v>1</x:v>
      </x:c>
      <x:c r="AD3" s="45" t="str">
        <x:v>Isi biaya sesuai laporan laba rugi. Revenue/COGS otomatis dari REVENUE_YR; boleh override jika angka final P&amp;L berbeda.</x:v>
      </x:c>
      <x:c r="AF3" s="2" t="str">
        <x:v>Sales_Discount</x:v>
      </x:c>
      <x:c r="AG3" s="2" t="str">
        <x:v>Potongan penjualan. Dipisahkan agar diskon tidak tercampur dengan COGS.</x:v>
      </x:c>
    </x:row>
    <x:row r="4">
      <x:c r="A4" s="45" t="n">
        <x:v>2023</x:v>
      </x:c>
      <x:c r="B4" s="45" t="n">
        <x:f>IFERROR(SUMIF(REVENUE_YR!$A:$A,A4,REVENUE_YR!$C:$C),0)</x:f>
        <x:v>58750000000</x:v>
      </x:c>
      <x:c r="C4" s="45" t="n">
        <x:v>0</x:v>
      </x:c>
      <x:c r="D4" s="45" t="n">
        <x:f>B4-C4</x:f>
        <x:v>58750000000</x:v>
      </x:c>
      <x:c r="E4" s="45" t="n">
        <x:f>IFERROR(SUMIF(REVENUE_YR!$A:$A,A4,REVENUE_YR!$D:$D),0)</x:f>
        <x:v>32500000000</x:v>
      </x:c>
      <x:c r="F4" s="45" t="n">
        <x:v>0</x:v>
      </x:c>
      <x:c r="G4" s="45" t="n">
        <x:f>D4-E4-F4</x:f>
        <x:v>26250000000</x:v>
      </x:c>
      <x:c r="H4" s="45" t="n">
        <x:v>0</x:v>
      </x:c>
      <x:c r="I4" s="45" t="n">
        <x:v>0</x:v>
      </x:c>
      <x:c r="J4" s="45" t="n">
        <x:v>0</x:v>
      </x:c>
      <x:c r="K4" s="45" t="n">
        <x:f>H4+I4+J4</x:f>
        <x:v>0</x:v>
      </x:c>
      <x:c r="L4" s="45" t="n">
        <x:f>G4-K4</x:f>
        <x:v>26250000000</x:v>
      </x:c>
      <x:c r="M4" s="45" t="n">
        <x:v>0</x:v>
      </x:c>
      <x:c r="N4" s="45" t="n">
        <x:v>0</x:v>
      </x:c>
      <x:c r="O4" s="45" t="n">
        <x:v>0</x:v>
      </x:c>
      <x:c r="P4" s="45" t="n">
        <x:f>M4-N4-O4</x:f>
        <x:v>0</x:v>
      </x:c>
      <x:c r="Q4" s="45" t="n">
        <x:f>L4+P4</x:f>
        <x:v>26250000000</x:v>
      </x:c>
      <x:c r="R4" s="45" t="n">
        <x:v>0</x:v>
      </x:c>
      <x:c r="S4" s="45" t="n">
        <x:v>0</x:v>
      </x:c>
      <x:c r="T4" s="45" t="n">
        <x:f>R4+S4</x:f>
        <x:v>0</x:v>
      </x:c>
      <x:c r="U4" s="45" t="n">
        <x:f>Q4-T4</x:f>
        <x:v>26250000000</x:v>
      </x:c>
      <x:c r="V4" s="45" t="n">
        <x:f>IFERROR(G4/D4,0)</x:f>
        <x:v>0.44680851063829785</x:v>
      </x:c>
      <x:c r="W4" s="45" t="n">
        <x:f>IFERROR(L4/D4,0)</x:f>
        <x:v>0.44680851063829785</x:v>
      </x:c>
      <x:c r="X4" s="45" t="n">
        <x:f>IFERROR(U4/D4,0)</x:f>
        <x:v>0.44680851063829785</x:v>
      </x:c>
      <x:c r="Y4" s="45" t="n">
        <x:f>IFERROR(H4/D4,0)</x:f>
        <x:v>0</x:v>
      </x:c>
      <x:c r="Z4" s="45" t="n">
        <x:f>IFERROR(K4/D4,0)</x:f>
        <x:v>0</x:v>
      </x:c>
      <x:c r="AA4" s="45" t="n">
        <x:f>IFERROR(O4/D4,0)</x:f>
        <x:v>0</x:v>
      </x:c>
      <x:c r="AB4" s="45" t="n">
        <x:f>IFERROR(T4/D4,0)</x:f>
        <x:v>0</x:v>
      </x:c>
      <x:c r="AC4" s="45" t="n">
        <x:f>IFERROR(U4/G4,0)</x:f>
        <x:v>1</x:v>
      </x:c>
      <x:c r="AD4" s="45" t="str">
        <x:v>Isi biaya sesuai laporan laba rugi. Revenue/COGS otomatis dari REVENUE_YR; boleh override jika angka final P&amp;L berbeda.</x:v>
      </x:c>
      <x:c r="AF4" s="2" t="str">
        <x:v>Net_Revenue</x:v>
      </x:c>
      <x:c r="AG4" s="2" t="str">
        <x:v>Project_Revenue - Sales_Discount. Ini basis margin.</x:v>
      </x:c>
    </x:row>
    <x:row r="5">
      <x:c r="A5" s="45" t="n">
        <x:v>2024</x:v>
      </x:c>
      <x:c r="B5" s="45" t="n">
        <x:f>IFERROR(SUMIF(REVENUE_YR!$A:$A,A5,REVENUE_YR!$C:$C),0)</x:f>
        <x:v>62700000000</x:v>
      </x:c>
      <x:c r="C5" s="45" t="n">
        <x:v>0</x:v>
      </x:c>
      <x:c r="D5" s="45" t="n">
        <x:f>B5-C5</x:f>
        <x:v>62700000000</x:v>
      </x:c>
      <x:c r="E5" s="45" t="n">
        <x:f>IFERROR(SUMIF(REVENUE_YR!$A:$A,A5,REVENUE_YR!$D:$D),0)</x:f>
        <x:v>35000000000</x:v>
      </x:c>
      <x:c r="F5" s="45" t="n">
        <x:v>0</x:v>
      </x:c>
      <x:c r="G5" s="45" t="n">
        <x:f>D5-E5-F5</x:f>
        <x:v>27700000000</x:v>
      </x:c>
      <x:c r="H5" s="45" t="n">
        <x:v>0</x:v>
      </x:c>
      <x:c r="I5" s="45" t="n">
        <x:v>0</x:v>
      </x:c>
      <x:c r="J5" s="45" t="n">
        <x:v>0</x:v>
      </x:c>
      <x:c r="K5" s="45" t="n">
        <x:f>H5+I5+J5</x:f>
        <x:v>0</x:v>
      </x:c>
      <x:c r="L5" s="45" t="n">
        <x:f>G5-K5</x:f>
        <x:v>27700000000</x:v>
      </x:c>
      <x:c r="M5" s="45" t="n">
        <x:v>0</x:v>
      </x:c>
      <x:c r="N5" s="45" t="n">
        <x:v>0</x:v>
      </x:c>
      <x:c r="O5" s="45" t="n">
        <x:v>0</x:v>
      </x:c>
      <x:c r="P5" s="45" t="n">
        <x:f>M5-N5-O5</x:f>
        <x:v>0</x:v>
      </x:c>
      <x:c r="Q5" s="45" t="n">
        <x:f>L5+P5</x:f>
        <x:v>27700000000</x:v>
      </x:c>
      <x:c r="R5" s="45" t="n">
        <x:v>0</x:v>
      </x:c>
      <x:c r="S5" s="45" t="n">
        <x:v>0</x:v>
      </x:c>
      <x:c r="T5" s="45" t="n">
        <x:f>R5+S5</x:f>
        <x:v>0</x:v>
      </x:c>
      <x:c r="U5" s="45" t="n">
        <x:f>Q5-T5</x:f>
        <x:v>27700000000</x:v>
      </x:c>
      <x:c r="V5" s="45" t="n">
        <x:f>IFERROR(G5/D5,0)</x:f>
        <x:v>0.44178628389154706</x:v>
      </x:c>
      <x:c r="W5" s="45" t="n">
        <x:f>IFERROR(L5/D5,0)</x:f>
        <x:v>0.44178628389154706</x:v>
      </x:c>
      <x:c r="X5" s="45" t="n">
        <x:f>IFERROR(U5/D5,0)</x:f>
        <x:v>0.44178628389154706</x:v>
      </x:c>
      <x:c r="Y5" s="45" t="n">
        <x:f>IFERROR(H5/D5,0)</x:f>
        <x:v>0</x:v>
      </x:c>
      <x:c r="Z5" s="45" t="n">
        <x:f>IFERROR(K5/D5,0)</x:f>
        <x:v>0</x:v>
      </x:c>
      <x:c r="AA5" s="45" t="n">
        <x:f>IFERROR(O5/D5,0)</x:f>
        <x:v>0</x:v>
      </x:c>
      <x:c r="AB5" s="45" t="n">
        <x:f>IFERROR(T5/D5,0)</x:f>
        <x:v>0</x:v>
      </x:c>
      <x:c r="AC5" s="45" t="n">
        <x:f>IFERROR(U5/G5,0)</x:f>
        <x:v>1</x:v>
      </x:c>
      <x:c r="AD5" s="45" t="str">
        <x:v>Isi biaya sesuai laporan laba rugi. Revenue/COGS otomatis dari REVENUE_YR; boleh override jika angka final P&amp;L berbeda.</x:v>
      </x:c>
      <x:c r="AF5" s="2" t="str">
        <x:v>COGS_Direct</x:v>
      </x:c>
      <x:c r="AG5" s="2" t="str">
        <x:v>Harga pokok penjualan/direct cost. Default otomatis dari REVENUE_YR kolom COGS_Direct.</x:v>
      </x:c>
    </x:row>
    <x:row r="6">
      <x:c r="A6" s="45" t="n">
        <x:v>2025</x:v>
      </x:c>
      <x:c r="B6" s="45" t="n">
        <x:f>IFERROR(SUMIF(REVENUE_YR!$A:$A,A6,REVENUE_YR!$C:$C),0)</x:f>
        <x:v>89705623736</x:v>
      </x:c>
      <x:c r="C6" s="45" t="n">
        <x:v>0</x:v>
      </x:c>
      <x:c r="D6" s="45" t="n">
        <x:f>B6-C6</x:f>
        <x:v>89705623736</x:v>
      </x:c>
      <x:c r="E6" s="45" t="n">
        <x:f>IFERROR(SUMIF(REVENUE_YR!$A:$A,A6,REVENUE_YR!$D:$D),0)</x:f>
        <x:v>67368593009</x:v>
      </x:c>
      <x:c r="F6" s="45" t="n">
        <x:v>0</x:v>
      </x:c>
      <x:c r="G6" s="45" t="n">
        <x:f>D6-E6-F6</x:f>
        <x:v>22337030727</x:v>
      </x:c>
      <x:c r="H6" s="45" t="n">
        <x:v>0</x:v>
      </x:c>
      <x:c r="I6" s="45" t="n">
        <x:v>0</x:v>
      </x:c>
      <x:c r="J6" s="45" t="n">
        <x:v>0</x:v>
      </x:c>
      <x:c r="K6" s="45" t="n">
        <x:f>H6+I6+J6</x:f>
        <x:v>0</x:v>
      </x:c>
      <x:c r="L6" s="45" t="n">
        <x:f>G6-K6</x:f>
        <x:v>22337030727</x:v>
      </x:c>
      <x:c r="M6" s="45" t="n">
        <x:v>0</x:v>
      </x:c>
      <x:c r="N6" s="45" t="n">
        <x:v>0</x:v>
      </x:c>
      <x:c r="O6" s="45" t="n">
        <x:v>0</x:v>
      </x:c>
      <x:c r="P6" s="45" t="n">
        <x:f>M6-N6-O6</x:f>
        <x:v>0</x:v>
      </x:c>
      <x:c r="Q6" s="45" t="n">
        <x:f>L6+P6</x:f>
        <x:v>22337030727</x:v>
      </x:c>
      <x:c r="R6" s="45" t="n">
        <x:v>0</x:v>
      </x:c>
      <x:c r="S6" s="45" t="n">
        <x:v>0</x:v>
      </x:c>
      <x:c r="T6" s="45" t="n">
        <x:f>R6+S6</x:f>
        <x:v>0</x:v>
      </x:c>
      <x:c r="U6" s="45" t="n">
        <x:f>Q6-T6</x:f>
        <x:v>22337030727</x:v>
      </x:c>
      <x:c r="V6" s="45" t="n">
        <x:f>IFERROR(G6/D6,0)</x:f>
        <x:v>0.2490036833447251</x:v>
      </x:c>
      <x:c r="W6" s="45" t="n">
        <x:f>IFERROR(L6/D6,0)</x:f>
        <x:v>0.2490036833447251</x:v>
      </x:c>
      <x:c r="X6" s="45" t="n">
        <x:f>IFERROR(U6/D6,0)</x:f>
        <x:v>0.2490036833447251</x:v>
      </x:c>
      <x:c r="Y6" s="45" t="n">
        <x:f>IFERROR(H6/D6,0)</x:f>
        <x:v>0</x:v>
      </x:c>
      <x:c r="Z6" s="45" t="n">
        <x:f>IFERROR(K6/D6,0)</x:f>
        <x:v>0</x:v>
      </x:c>
      <x:c r="AA6" s="45" t="n">
        <x:f>IFERROR(O6/D6,0)</x:f>
        <x:v>0</x:v>
      </x:c>
      <x:c r="AB6" s="45" t="n">
        <x:f>IFERROR(T6/D6,0)</x:f>
        <x:v>0</x:v>
      </x:c>
      <x:c r="AC6" s="45" t="n">
        <x:f>IFERROR(U6/G6,0)</x:f>
        <x:v>1</x:v>
      </x:c>
      <x:c r="AD6" s="45" t="str">
        <x:v>Isi biaya sesuai laporan laba rugi. Revenue/COGS otomatis dari REVENUE_YR; boleh override jika angka final P&amp;L berbeda.</x:v>
      </x:c>
      <x:c r="AF6" s="2" t="str">
        <x:v>Project_Overhead</x:v>
      </x:c>
      <x:c r="AG6" s="2" t="str">
        <x:v>Overhead proyek langsung. Jika sudah masuk COGS, biarkan 0 agar tidak double count.</x:v>
      </x:c>
    </x:row>
    <x:row r="7">
      <x:c r="A7" s="45" t="n">
        <x:v>2026</x:v>
      </x:c>
      <x:c r="B7" s="45" t="n">
        <x:f>IFERROR(SUMIF(REVENUE_YR!$A:$A,A7,REVENUE_YR!$C:$C),0)</x:f>
        <x:v>20000000000</x:v>
      </x:c>
      <x:c r="C7" s="45" t="n">
        <x:v>0</x:v>
      </x:c>
      <x:c r="D7" s="45" t="n">
        <x:f>B7-C7</x:f>
        <x:v>20000000000</x:v>
      </x:c>
      <x:c r="E7" s="45" t="n">
        <x:f>IFERROR(SUMIF(REVENUE_YR!$A:$A,A7,REVENUE_YR!$D:$D),0)</x:f>
        <x:v>17000000000</x:v>
      </x:c>
      <x:c r="F7" s="45" t="n">
        <x:v>0</x:v>
      </x:c>
      <x:c r="G7" s="45" t="n">
        <x:f>D7-E7-F7</x:f>
        <x:v>3000000000</x:v>
      </x:c>
      <x:c r="H7" s="45" t="n">
        <x:v>0</x:v>
      </x:c>
      <x:c r="I7" s="45" t="n">
        <x:v>0</x:v>
      </x:c>
      <x:c r="J7" s="45" t="n">
        <x:v>0</x:v>
      </x:c>
      <x:c r="K7" s="45" t="n">
        <x:f>H7+I7+J7</x:f>
        <x:v>0</x:v>
      </x:c>
      <x:c r="L7" s="45" t="n">
        <x:f>G7-K7</x:f>
        <x:v>3000000000</x:v>
      </x:c>
      <x:c r="M7" s="45" t="n">
        <x:v>0</x:v>
      </x:c>
      <x:c r="N7" s="45" t="n">
        <x:v>0</x:v>
      </x:c>
      <x:c r="O7" s="45" t="n">
        <x:v>0</x:v>
      </x:c>
      <x:c r="P7" s="45" t="n">
        <x:f>M7-N7-O7</x:f>
        <x:v>0</x:v>
      </x:c>
      <x:c r="Q7" s="45" t="n">
        <x:f>L7+P7</x:f>
        <x:v>3000000000</x:v>
      </x:c>
      <x:c r="R7" s="45" t="n">
        <x:v>0</x:v>
      </x:c>
      <x:c r="S7" s="45" t="n">
        <x:v>0</x:v>
      </x:c>
      <x:c r="T7" s="45" t="n">
        <x:f>R7+S7</x:f>
        <x:v>0</x:v>
      </x:c>
      <x:c r="U7" s="45" t="n">
        <x:f>Q7-T7</x:f>
        <x:v>3000000000</x:v>
      </x:c>
      <x:c r="V7" s="45" t="n">
        <x:f>IFERROR(G7/D7,0)</x:f>
        <x:v>0.15</x:v>
      </x:c>
      <x:c r="W7" s="45" t="n">
        <x:f>IFERROR(L7/D7,0)</x:f>
        <x:v>0.15</x:v>
      </x:c>
      <x:c r="X7" s="45" t="n">
        <x:f>IFERROR(U7/D7,0)</x:f>
        <x:v>0.15</x:v>
      </x:c>
      <x:c r="Y7" s="45" t="n">
        <x:f>IFERROR(H7/D7,0)</x:f>
        <x:v>0</x:v>
      </x:c>
      <x:c r="Z7" s="45" t="n">
        <x:f>IFERROR(K7/D7,0)</x:f>
        <x:v>0</x:v>
      </x:c>
      <x:c r="AA7" s="45" t="n">
        <x:f>IFERROR(O7/D7,0)</x:f>
        <x:v>0</x:v>
      </x:c>
      <x:c r="AB7" s="45" t="n">
        <x:f>IFERROR(T7/D7,0)</x:f>
        <x:v>0</x:v>
      </x:c>
      <x:c r="AC7" s="45" t="n">
        <x:f>IFERROR(U7/G7,0)</x:f>
        <x:v>1</x:v>
      </x:c>
      <x:c r="AD7" s="45" t="str">
        <x:v>Isi biaya sesuai laporan laba rugi. Revenue/COGS otomatis dari REVENUE_YR; boleh override jika angka final P&amp;L berbeda.</x:v>
      </x:c>
      <x:c r="AF7" s="2" t="str">
        <x:v>Biaya_Administrasi</x:v>
      </x:c>
      <x:c r="AG7" s="2" t="str">
        <x:v>Biaya admin/umum sesuai P&amp;L. Jika berisi gaji, tetap boleh diisi untuk P&amp;L; PAYROLL_YR tetap dipakai untuk MCR.</x:v>
      </x:c>
    </x:row>
    <x:row r="8">
      <x:c r="AF8" s="2" t="str">
        <x:v>Biaya_Marketing</x:v>
      </x:c>
      <x:c r="AG8" s="2" t="str">
        <x:v>Biaya pemasaran/komersial.</x:v>
      </x:c>
    </x:row>
    <x:row r="9">
      <x:c r="AF9" s="2" t="str">
        <x:v>Biaya_Litbang_RnD</x:v>
      </x:c>
      <x:c r="AG9" s="2" t="str">
        <x:v>Biaya riset/pengembangan/litbang.</x:v>
      </x:c>
    </x:row>
    <x:row r="10">
      <x:c r="AF10" s="2" t="str">
        <x:v>Interest_Expense</x:v>
      </x:c>
      <x:c r="AG10" s="2" t="str">
        <x:v>Beban bunga pinjaman.</x:v>
      </x:c>
    </x:row>
    <x:row r="11">
      <x:c r="AF11" s="2" t="str">
        <x:v>Tax</x:v>
      </x:c>
      <x:c r="AG11" s="2" t="str">
        <x:v>PPh 29 dan PPh 23/4(2), atau pajak lain yang relevan.</x:v>
      </x:c>
    </x:row>
    <x:row r="12">
      <x:c r="AF12" s="2" t="str">
        <x:v>Profit_Conversion</x:v>
      </x:c>
      <x:c r="AG12" s="2" t="str">
        <x:v>Net Profit / Gross Profit. Mengukur berapa laba kotor yang berubah menjadi laba bersih.</x:v>
      </x:c>
    </x:row>
    <x:row r="13">
      <x:c r="AF13" s="2" t="str">
        <x:v>Catatan penting</x:v>
      </x:c>
      <x:c r="AG13" s="2" t="str">
        <x:v>FINANCIALS mengikuti laporan laba/rugi. Jangan mengurangi revenue langsung; ikuti alur Gross Profit -&gt; EBIT -&gt; PBT -&gt; Net Profit.</x:v>
      </x:c>
    </x:row>
    <x:row r="14">
      <x:c r="AF14" s="2" t="str">
        <x:v>Target</x:v>
      </x:c>
      <x:c r="AG14" s="2" t="str">
        <x:v>Threshold default dibuat konservatif untuk bisnis project/system integrator; silakan sesuaikan dengan target Board.</x:v>
      </x:c>
    </x:row>
  </x:sheetData>
  <x:pageMargins left="0.7" right="0.7" top="0.75" bottom="0.75" header="0.3" footer="0.3"/>
  <x:tableParts count="1">
    <x:tablePart xmlns:r="http://schemas.openxmlformats.org/officeDocument/2006/relationships" r:id="Rcbe12409144e4d01"/>
  </x:tableParts>
</x:worksheet>
</file>