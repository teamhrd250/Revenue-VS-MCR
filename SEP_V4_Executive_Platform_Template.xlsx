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tables/table8.xml" ContentType="application/vnd.openxmlformats-officedocument.spreadsheetml.table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  <Override PartName="/xl/tables/table11.xml" ContentType="application/vnd.openxmlformats-officedocument.spreadsheetml.table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ables/table12.xml" ContentType="application/vnd.openxmlformats-officedocument.spreadsheetml.table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cd18040678b495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c98ebf46c8814f70"/>
    <x:sheet xmlns:r="http://schemas.openxmlformats.org/officeDocument/2006/relationships" name="PARAMETERS" sheetId="2" r:id="R84edda4a1e2045f9"/>
    <x:sheet xmlns:r="http://schemas.openxmlformats.org/officeDocument/2006/relationships" name="TARGETS" sheetId="3" r:id="Rcd2d7d43b369495f"/>
    <x:sheet xmlns:r="http://schemas.openxmlformats.org/officeDocument/2006/relationships" name="FJA_MAPPING" sheetId="4" r:id="R8c5b3e04d7354164"/>
    <x:sheet xmlns:r="http://schemas.openxmlformats.org/officeDocument/2006/relationships" name="DIM_DEPARTMENT" sheetId="5" r:id="Rabb6bba306fa443b"/>
    <x:sheet xmlns:r="http://schemas.openxmlformats.org/officeDocument/2006/relationships" name="DIM_EMPLOYEE" sheetId="6" r:id="R0d911626639e40bc"/>
    <x:sheet xmlns:r="http://schemas.openxmlformats.org/officeDocument/2006/relationships" name="REVENUE_YR" sheetId="7" r:id="R28517d0f2a5649bd"/>
    <x:sheet xmlns:r="http://schemas.openxmlformats.org/officeDocument/2006/relationships" name="REVENUE_BY_DEPT" sheetId="8" r:id="R88e05e3ba11f4f0e"/>
    <x:sheet xmlns:r="http://schemas.openxmlformats.org/officeDocument/2006/relationships" name="HEADCOUNT_YR" sheetId="9" r:id="R0a9abef786f04604"/>
    <x:sheet xmlns:r="http://schemas.openxmlformats.org/officeDocument/2006/relationships" name="PAYROLL_YR" sheetId="10" r:id="R89a655970ee743f2"/>
    <x:sheet xmlns:r="http://schemas.openxmlformats.org/officeDocument/2006/relationships" name="HC_MOVEMENT" sheetId="11" r:id="R30ca8df8acb146b5"/>
    <x:sheet xmlns:r="http://schemas.openxmlformats.org/officeDocument/2006/relationships" name="PROJECT_MARGIN" sheetId="12" r:id="R4f2eccd2dc764ad7"/>
    <x:sheet xmlns:r="http://schemas.openxmlformats.org/officeDocument/2006/relationships" name="CAPACITY_INDICATOR" sheetId="13" r:id="R4abe363a6fe04385"/>
    <x:sheet xmlns:r="http://schemas.openxmlformats.org/officeDocument/2006/relationships" name="EXEC_SUMMARY" sheetId="14" r:id="Rdf17d76cd2f044e5"/>
    <x:sheet xmlns:r="http://schemas.openxmlformats.org/officeDocument/2006/relationships" name="CALENDAR" sheetId="15" r:id="R1b880bb67f3e40d8"/>
    <x:sheet xmlns:r="http://schemas.openxmlformats.org/officeDocument/2006/relationships" name="PRESENTATION_GUIDE" sheetId="16" r:id="Re056f8fd9812436d"/>
    <x:sheet xmlns:r="http://schemas.openxmlformats.org/officeDocument/2006/relationships" name="VISUAL_GUIDE" sheetId="17" r:id="Re3046300186a44ba"/>
    <x:sheet xmlns:r="http://schemas.openxmlformats.org/officeDocument/2006/relationships" name="SEP_V4_GUIDE" sheetId="18" r:id="Rcd286d2ee1214f46"/>
    <x:sheet xmlns:r="http://schemas.openxmlformats.org/officeDocument/2006/relationships" name="SEP_PRESENTATION_FLOW" sheetId="19" r:id="R7c2142ffe78046c1"/>
  </x:sheets>
</x:workbook>
</file>

<file path=xl/sharedStrings.xml><?xml version="1.0" encoding="utf-8"?>
<x:sst xmlns:x="http://schemas.openxmlformats.org/spreadsheetml/2006/main">
  <x:si>
    <x:t xml:space="preserve">HR vs Revenue Intelligence Platform v2 (Board &amp; CFO Edition)</x:t>
  </x:si>
  <x:si>
    <x:t xml:space="preserve">Tujuan template:</x:t>
  </x:si>
  <x:si>
    <x:t xml:space="preserve">1. Menjadi data model Excel untuk dashboard Streamlit HR vs Revenue Intelligence Platform v2.</x:t>
  </x:si>
  <x:si>
    <x:t xml:space="preserve">2. Menggabungkan analisis Revenue, Headcount, Payroll, Gross Margin, FJA, Capacity Risk, dan Board Decision Center.</x:t>
  </x:si>
  <x:si>
    <x:t xml:space="preserve">3. Data dapat diisi manual dari finance/HR/project control tanpa mengubah aplikasi Python.</x:t>
  </x:si>
  <x:si>
    <x:t xml:space="preserve">Alur pengisian:</x:t>
  </x:si>
  <x:si>
    <x:t xml:space="preserve">1. Isi PARAMETERS dan TARGETS.</x:t>
  </x:si>
  <x:si>
    <x:t xml:space="preserve">2. Isi DIM_DEPARTMENT dan FJA_MAPPING.</x:t>
  </x:si>
  <x:si>
    <x:t xml:space="preserve">3. Isi transaksi/tahunan: REVENUE_YR, REVENUE_BY_DEPT, HEADCOUNT_YR, PAYROLL_YR.</x:t>
  </x:si>
  <x:si>
    <x:t xml:space="preserve">4. Opsional: DIM_EMPLOYEE, HC_MOVEMENT, PROJECT_MARGIN, CAPACITY_INDICATOR.</x:t>
  </x:si>
  <x:si>
    <x:t xml:space="preserve">Sheet wajib minimum untuk dashboard berjalan:</x:t>
  </x:si>
  <x:si>
    <x:t xml:space="preserve">PARAMETERS, DIM_DEPARTMENT, REVENUE_YR, HEADCOUNT_YR, PAYROLL_YR, FJA_MAPPING, TARGETS.</x:t>
  </x:si>
  <x:si>
    <x:t xml:space="preserve">Catatan penting:</x:t>
  </x:si>
  <x:si>
    <x:t xml:space="preserve">- Revenue by department idealnya diisi jika ingin analisis produktivitas per departemen/FJA lebih akurat.</x:t>
  </x:si>
  <x:si>
    <x:t xml:space="preserve">- Capacity indicators seperti overtime, SLA breach, backlog, dan turnover membuat Capacity Risk lebih defensible di depan Board.</x:t>
  </x:si>
  <x:si>
    <x:t xml:space="preserve">- Semua nilai uang diisi dalam currency sesuai PARAMETERS.</x:t>
  </x:si>
  <x:si>
    <x:t xml:space="preserve">Update v2.1:</x:t>
  </x:si>
  <x:si>
    <x:t xml:space="preserve">Template sample data sudah diperpanjang sampai tahun 2026.</x:t>
  </x:si>
  <x:si>
    <x:t xml:space="preserve">Ganti angka sample dengan data aktual sebelum digunakan untuk Board/CFO review.</x:t>
  </x:si>
  <x:si>
    <x:t xml:space="preserve">YTD / Annualized Logic:</x:t>
  </x:si>
  <x:si>
    <x:t xml:space="preserve">- CALENDAR menentukan jumlah bulan yang sudah closing per tahun.</x:t>
  </x:si>
  <x:si>
    <x:t xml:space="preserve">- 2026 diset sebagai YTD Jun dengan Months_Closed = 6.</x:t>
  </x:si>
  <x:si>
    <x:t xml:space="preserve">- Dashboard Python v2.1 menyediakan Analysis Mode: Actual dan Annualized.</x:t>
  </x:si>
  <x:si>
    <x:t xml:space="preserve">- Annualized mode mengalikan Revenue, COGS, dan Manpower Cost dengan 12 / Months_Closed.</x:t>
  </x:si>
  <x:si>
    <x:t xml:space="preserve">- Headcount tidak dianualisasi karena digunakan sebagai average capacity.</x:t>
  </x:si>
  <x:si>
    <x:t xml:space="preserve">Parameter</x:t>
  </x:si>
  <x:si>
    <x:t xml:space="preserve">Value</x:t>
  </x:si>
  <x:si>
    <x:t xml:space="preserve">Description</x:t>
  </x:si>
  <x:si>
    <x:t xml:space="preserve">Company_Name</x:t>
  </x:si>
  <x:si>
    <x:t xml:space="preserve">Starcom Solusindo</x:t>
  </x:si>
  <x:si>
    <x:t xml:space="preserve">Nama perusahaan untuk header dashboard.</x:t>
  </x:si>
  <x:si>
    <x:t xml:space="preserve">Currency_Code</x:t>
  </x:si>
  <x:si>
    <x:t xml:space="preserve">IDR</x:t>
  </x:si>
  <x:si>
    <x:t xml:space="preserve">Kode mata uang dashboard.</x:t>
  </x:si>
  <x:si>
    <x:t xml:space="preserve">Start_Year</x:t>
  </x:si>
  <x:si>
    <x:t xml:space="preserve">Tahun awal analisis.</x:t>
  </x:si>
  <x:si>
    <x:t xml:space="preserve">End_Year</x:t>
  </x:si>
  <x:si>
    <x:t xml:space="preserve">Tahun akhir analisis.</x:t>
  </x:si>
  <x:si>
    <x:t xml:space="preserve">Dashboard_Mode</x:t>
  </x:si>
  <x:si>
    <x:t xml:space="preserve">YEARLY</x:t>
  </x:si>
  <x:si>
    <x:t xml:space="preserve">YEARLY untuk template ini.</x:t>
  </x:si>
  <x:si>
    <x:t xml:space="preserve">MCR_Healthy_Range</x:t>
  </x:si>
  <x:si>
    <x:t xml:space="preserve">5–7%</x:t>
  </x:si>
  <x:si>
    <x:t xml:space="preserve">Band final MCR sehat.</x:t>
  </x:si>
  <x:si>
    <x:t xml:space="preserve">Gross_Margin_Healthy_Min</x:t>
  </x:si>
  <x:si>
    <x:t xml:space="preserve">Minimum Gross Margin sehat.</x:t>
  </x:si>
  <x:si>
    <x:t xml:space="preserve">KPI</x:t>
  </x:si>
  <x:si>
    <x:t xml:space="preserve">Target_Value</x:t>
  </x:si>
  <x:si>
    <x:t xml:space="preserve">Unit</x:t>
  </x:si>
  <x:si>
    <x:t xml:space="preserve">Threshold_Band</x:t>
  </x:si>
  <x:si>
    <x:t xml:space="preserve">Board_Use</x:t>
  </x:si>
  <x:si>
    <x:t xml:space="preserve">Revenue_Growth_Min</x:t>
  </x:si>
  <x:si>
    <x:t xml:space="preserve">%</x:t>
  </x:si>
  <x:si>
    <x:t xml:space="preserve">&gt;=20% = strong growth</x:t>
  </x:si>
  <x:si>
    <x:t xml:space="preserve">Batas minimum pertumbuhan revenue yang dianggap kuat.</x:t>
  </x:si>
  <x:si>
    <x:t xml:space="preserve">RPE_Growth_Min</x:t>
  </x:si>
  <x:si>
    <x:t xml:space="preserve">&gt;=15% = productivity expansion</x:t>
  </x:si>
  <x:si>
    <x:t xml:space="preserve">Batas minimum pertumbuhan Revenue per Employee.</x:t>
  </x:si>
  <x:si>
    <x:t xml:space="preserve">Headcount_Growth_Max_High_Leverage</x:t>
  </x:si>
  <x:si>
    <x:t xml:space="preserve">&lt;=10% = HC controlled</x:t>
  </x:si>
  <x:si>
    <x:t xml:space="preserve">Batas HC growth agar growth tetap high leverage.</x:t>
  </x:si>
  <x:si>
    <x:t xml:space="preserve">MCR_Ultra_Efficiency_Max</x:t>
  </x:si>
  <x:si>
    <x:t xml:space="preserve">&lt;5% = Ultra Efficiency</x:t>
  </x:si>
  <x:si>
    <x:t xml:space="preserve">MCR sangat rendah; perlu validasi kapasitas.</x:t>
  </x:si>
  <x:si>
    <x:t xml:space="preserve">MCR_Healthy_Min</x:t>
  </x:si>
  <x:si>
    <x:t xml:space="preserve">5–7% = Healthy</x:t>
  </x:si>
  <x:si>
    <x:t xml:space="preserve">Batas bawah MCR sehat.</x:t>
  </x:si>
  <x:si>
    <x:t xml:space="preserve">MCR_Healthy_Max</x:t>
  </x:si>
  <x:si>
    <x:t xml:space="preserve">Batas atas MCR sehat.</x:t>
  </x:si>
  <x:si>
    <x:t xml:space="preserve">MCR_Watch_Max</x:t>
  </x:si>
  <x:si>
    <x:t xml:space="preserve">7–9% = Watch</x:t>
  </x:si>
  <x:si>
    <x:t xml:space="preserve">Zona pantau people-cost.</x:t>
  </x:si>
  <x:si>
    <x:t xml:space="preserve">MCR_Cost_Pressure_Max</x:t>
  </x:si>
  <x:si>
    <x:t xml:space="preserve">9–14% = Cost Pressure</x:t>
  </x:si>
  <x:si>
    <x:t xml:space="preserve">Zona tekanan biaya manpower.</x:t>
  </x:si>
  <x:si>
    <x:t xml:space="preserve">MCR_Critical_Min</x:t>
  </x:si>
  <x:si>
    <x:t xml:space="preserve">&gt;14% = Critical</x:t>
  </x:si>
  <x:si>
    <x:t xml:space="preserve">Level kritikal people-cost terhadap revenue.</x:t>
  </x:si>
  <x:si>
    <x:t xml:space="preserve">Gross_Margin_Strong_Min</x:t>
  </x:si>
  <x:si>
    <x:t xml:space="preserve">&gt;35% = Strong</x:t>
  </x:si>
  <x:si>
    <x:t xml:space="preserve">Margin sangat kuat.</x:t>
  </x:si>
  <x:si>
    <x:t xml:space="preserve">25–35% = Healthy</x:t>
  </x:si>
  <x:si>
    <x:t xml:space="preserve">Margin sehat.</x:t>
  </x:si>
  <x:si>
    <x:t xml:space="preserve">Gross_Margin_Watch_Min</x:t>
  </x:si>
  <x:si>
    <x:t xml:space="preserve">15–25% = Watch</x:t>
  </x:si>
  <x:si>
    <x:t xml:space="preserve">Margin perlu dipantau.</x:t>
  </x:si>
  <x:si>
    <x:t xml:space="preserve">Gross_Margin_Pressure_Min</x:t>
  </x:si>
  <x:si>
    <x:t xml:space="preserve">10–15% = Pressure</x:t>
  </x:si>
  <x:si>
    <x:t xml:space="preserve">Margin mulai tertekan.</x:t>
  </x:si>
  <x:si>
    <x:t xml:space="preserve">Gross_Margin_Critical_Max</x:t>
  </x:si>
  <x:si>
    <x:t xml:space="preserve">&lt;10% = Critical</x:t>
  </x:si>
  <x:si>
    <x:t xml:space="preserve">Margin kritikal.</x:t>
  </x:si>
  <x:si>
    <x:t xml:space="preserve">Function_Group</x:t>
  </x:si>
  <x:si>
    <x:t xml:space="preserve">FJA_Category</x:t>
  </x:si>
  <x:si>
    <x:t xml:space="preserve">Value_Role</x:t>
  </x:si>
  <x:si>
    <x:t xml:space="preserve">Revenue_Impact</x:t>
  </x:si>
  <x:si>
    <x:t xml:space="preserve">Board_Interpretation</x:t>
  </x:si>
  <x:si>
    <x:t xml:space="preserve">Sales</x:t>
  </x:si>
  <x:si>
    <x:t xml:space="preserve">Revenue Generator</x:t>
  </x:si>
  <x:si>
    <x:t xml:space="preserve">Direct revenue creation</x:t>
  </x:si>
  <x:si>
    <x:t xml:space="preserve">Direct</x:t>
  </x:si>
  <x:si>
    <x:t xml:space="preserve">Fungsi penghasil revenue langsung; prioritaskan pipeline, conversion, dan retention sales key person.</x:t>
  </x:si>
  <x:si>
    <x:t xml:space="preserve">Operations/Project</x:t>
  </x:si>
  <x:si>
    <x:t xml:space="preserve">Revenue Enabler</x:t>
  </x:si>
  <x:si>
    <x:t xml:space="preserve">Delivery &amp; project execution</x:t>
  </x:si>
  <x:si>
    <x:t xml:space="preserve">Direct/Enabling</x:t>
  </x:si>
  <x:si>
    <x:t xml:space="preserve">Fungsi delivery yang mengonversi kontrak menjadi revenue recognized; monitor backlog, SLA, rework, dan utilisasi.</x:t>
  </x:si>
  <x:si>
    <x:t xml:space="preserve">Engineering</x:t>
  </x:si>
  <x:si>
    <x:t xml:space="preserve">Technical capability &amp; solution delivery</x:t>
  </x:si>
  <x:si>
    <x:t xml:space="preserve">Fungsi teknis yang menopang kualitas delivery dan scalability; monitor bottleneck, certification, dan dependency.</x:t>
  </x:si>
  <x:si>
    <x:t xml:space="preserve">Support</x:t>
  </x:si>
  <x:si>
    <x:t xml:space="preserve">Support Function</x:t>
  </x:si>
  <x:si>
    <x:t xml:space="preserve">Back-office support &amp; control</x:t>
  </x:si>
  <x:si>
    <x:t xml:space="preserve">Indirect</x:t>
  </x:si>
  <x:si>
    <x:t xml:space="preserve">Fungsi pendukung; jaga proporsi agar tidak tumbuh lebih cepat dari revenue driver/enabler.</x:t>
  </x:si>
  <x:si>
    <x:t xml:space="preserve">Management</x:t>
  </x:si>
  <x:si>
    <x:t xml:space="preserve">Governance / Management</x:t>
  </x:si>
  <x:si>
    <x:t xml:space="preserve">Leadership &amp; governance</x:t>
  </x:si>
  <x:si>
    <x:t xml:space="preserve">Indirect/Strategic</x:t>
  </x:si>
  <x:si>
    <x:t xml:space="preserve">Fungsi pengarah dan kontrol; harus proporsional terhadap growth dan kompleksitas bisnis.</x:t>
  </x:si>
  <x:si>
    <x:t xml:space="preserve">UNMAPPED</x:t>
  </x:si>
  <x:si>
    <x:t xml:space="preserve">Unmapped</x:t>
  </x:si>
  <x:si>
    <x:t xml:space="preserve">Needs cleanup</x:t>
  </x:si>
  <x:si>
    <x:t xml:space="preserve">Unknown</x:t>
  </x:si>
  <x:si>
    <x:t xml:space="preserve">Mapping belum lengkap; perbaiki Function_Group di DIM_DEPARTMENT agar analisis FJA akurat.</x:t>
  </x:si>
  <x:si>
    <x:t xml:space="preserve">Dept_ID</x:t>
  </x:si>
  <x:si>
    <x:t xml:space="preserve">Dept_Name</x:t>
  </x:si>
  <x:si>
    <x:t xml:space="preserve">Revenue_Driver_Flag</x:t>
  </x:si>
  <x:si>
    <x:t xml:space="preserve">FJA_Category_Override</x:t>
  </x:si>
  <x:si>
    <x:t xml:space="preserve">Notes</x:t>
  </x:si>
  <x:si>
    <x:t xml:space="preserve">D001</x:t>
  </x:si>
  <x:si>
    <x:t xml:space="preserve">Y</x:t>
  </x:si>
  <x:si>
    <x:t xml:space="preserve">Sales &amp; account management</x:t>
  </x:si>
  <x:si>
    <x:t xml:space="preserve">D002</x:t>
  </x:si>
  <x:si>
    <x:t xml:space="preserve">Operations</x:t>
  </x:si>
  <x:si>
    <x:t xml:space="preserve">Project delivery / operations</x:t>
  </x:si>
  <x:si>
    <x:t xml:space="preserve">D003</x:t>
  </x:si>
  <x:si>
    <x:t xml:space="preserve">HRGA</x:t>
  </x:si>
  <x:si>
    <x:t xml:space="preserve">N</x:t>
  </x:si>
  <x:si>
    <x:t xml:space="preserve">People &amp; general affairs</x:t>
  </x:si>
  <x:si>
    <x:t xml:space="preserve">D004</x:t>
  </x:si>
  <x:si>
    <x:t xml:space="preserve">Procurement</x:t>
  </x:si>
  <x:si>
    <x:t xml:space="preserve">Purchasing &amp; vendor management</x:t>
  </x:si>
  <x:si>
    <x:t xml:space="preserve">D005</x:t>
  </x:si>
  <x:si>
    <x:t xml:space="preserve">Prodev</x:t>
  </x:si>
  <x:si>
    <x:t xml:space="preserve">Product/technical development</x:t>
  </x:si>
  <x:si>
    <x:t xml:space="preserve">D006</x:t>
  </x:si>
  <x:si>
    <x:t xml:space="preserve">Finance</x:t>
  </x:si>
  <x:si>
    <x:t xml:space="preserve">Finance &amp; accounting</x:t>
  </x:si>
  <x:si>
    <x:t xml:space="preserve">D007</x:t>
  </x:si>
  <x:si>
    <x:t xml:space="preserve">Executive/governance</x:t>
  </x:si>
  <x:si>
    <x:t xml:space="preserve">Employee_ID</x:t>
  </x:si>
  <x:si>
    <x:t xml:space="preserve">Employee_Name</x:t>
  </x:si>
  <x:si>
    <x:t xml:space="preserve">Position</x:t>
  </x:si>
  <x:si>
    <x:t xml:space="preserve">Employment_Type</x:t>
  </x:si>
  <x:si>
    <x:t xml:space="preserve">Join_Date</x:t>
  </x:si>
  <x:si>
    <x:t xml:space="preserve">Exit_Date</x:t>
  </x:si>
  <x:si>
    <x:t xml:space="preserve">Critical_Role_Flag</x:t>
  </x:si>
  <x:si>
    <x:t xml:space="preserve">E001</x:t>
  </x:si>
  <x:si>
    <x:t xml:space="preserve">Sample Sales Lead</x:t>
  </x:si>
  <x:si>
    <x:t xml:space="preserve">Sales Manager</x:t>
  </x:si>
  <x:si>
    <x:t xml:space="preserve">Permanent</x:t>
  </x:si>
  <x:si>
    <x:t xml:space="preserve">2021-01-01</x:t>
  </x:si>
  <x:si>
    <x:t xml:space="preserve">Example</x:t>
  </x:si>
  <x:si>
    <x:t xml:space="preserve">E002</x:t>
  </x:si>
  <x:si>
    <x:t xml:space="preserve">Sample Engineer</x:t>
  </x:si>
  <x:si>
    <x:t xml:space="preserve">Senior Engineer</x:t>
  </x:si>
  <x:si>
    <x:t xml:space="preserve">E003</x:t>
  </x:si>
  <x:si>
    <x:t xml:space="preserve">Sample Ops</x:t>
  </x:si>
  <x:si>
    <x:t xml:space="preserve">Project Coordinator</x:t>
  </x:si>
  <x:si>
    <x:t xml:space="preserve">Contract</x:t>
  </x:si>
  <x:si>
    <x:t xml:space="preserve">2022-03-01</x:t>
  </x:si>
  <x:si>
    <x:t xml:space="preserve">Year</x:t>
  </x:si>
  <x:si>
    <x:t xml:space="preserve">Business_Line</x:t>
  </x:si>
  <x:si>
    <x:t xml:space="preserve">Revenue_Recognized</x:t>
  </x:si>
  <x:si>
    <x:t xml:space="preserve">COGS_Direct</x:t>
  </x:si>
  <x:si>
    <x:t xml:space="preserve">Gross_Profit</x:t>
  </x:si>
  <x:si>
    <x:t xml:space="preserve">Gross_Margin_Pct</x:t>
  </x:si>
  <x:si>
    <x:t xml:space="preserve">Total Company</x:t>
  </x:si>
  <x:si>
    <x:t xml:space="preserve">Sample data - replace with actual</x:t>
  </x:si>
  <x:si>
    <x:t xml:space="preserve">Sample 2026 - replace with actual</x:t>
  </x:si>
  <x:si>
    <x:t xml:space="preserve">Direct_or_Allocated</x:t>
  </x:si>
  <x:si>
    <x:t xml:space="preserve">Allocation_Method</x:t>
  </x:si>
  <x:si>
    <x:t xml:space="preserve">Allocated</x:t>
  </x:si>
  <x:si>
    <x:t xml:space="preserve">Pipeline/Account ownership</x:t>
  </x:si>
  <x:si>
    <x:t xml:space="preserve">Sample</x:t>
  </x:si>
  <x:si>
    <x:t xml:space="preserve">Delivery ownership</x:t>
  </x:si>
  <x:si>
    <x:t xml:space="preserve">Technical delivery</x:t>
  </x:si>
  <x:si>
    <x:t xml:space="preserve">Sample 2026</x:t>
  </x:si>
  <x:si>
    <x:t xml:space="preserve">Avg_Headcount</x:t>
  </x:si>
  <x:si>
    <x:t xml:space="preserve">Avg_FTE</x:t>
  </x:si>
  <x:si>
    <x:t xml:space="preserve">New_Hires</x:t>
  </x:si>
  <x:si>
    <x:t xml:space="preserve">Exits</x:t>
  </x:si>
  <x:si>
    <x:t xml:space="preserve">Payroll_Gross</x:t>
  </x:si>
  <x:si>
    <x:t xml:space="preserve">Overtime</x:t>
  </x:si>
  <x:si>
    <x:t xml:space="preserve">Bonus</x:t>
  </x:si>
  <x:si>
    <x:t xml:space="preserve">Benefits</x:t>
  </x:si>
  <x:si>
    <x:t xml:space="preserve">Employer_Tax</x:t>
  </x:si>
  <x:si>
    <x:t xml:space="preserve">Total_Manpower_Cost</x:t>
  </x:si>
  <x:si>
    <x:t xml:space="preserve">Payment_Type</x:t>
  </x:si>
  <x:si>
    <x:t xml:space="preserve">Payroll</x:t>
  </x:si>
  <x:si>
    <x:t xml:space="preserve">Joiners</x:t>
  </x:si>
  <x:si>
    <x:t xml:space="preserve">Leavers</x:t>
  </x:si>
  <x:si>
    <x:t xml:space="preserve">Internal_Transfer_In</x:t>
  </x:si>
  <x:si>
    <x:t xml:space="preserve">Internal_Transfer_Out</x:t>
  </x:si>
  <x:si>
    <x:t xml:space="preserve">Project_ID</x:t>
  </x:si>
  <x:si>
    <x:t xml:space="preserve">Customer</x:t>
  </x:si>
  <x:si>
    <x:t xml:space="preserve">Revenue</x:t>
  </x:si>
  <x:si>
    <x:t xml:space="preserve">COGS</x:t>
  </x:si>
  <x:si>
    <x:t xml:space="preserve">Project_Status</x:t>
  </x:si>
  <x:si>
    <x:t xml:space="preserve">P001</x:t>
  </x:si>
  <x:si>
    <x:t xml:space="preserve">Customer A</x:t>
  </x:si>
  <x:si>
    <x:t xml:space="preserve">Managed Service</x:t>
  </x:si>
  <x:si>
    <x:t xml:space="preserve">Active</x:t>
  </x:si>
  <x:si>
    <x:t xml:space="preserve">P002</x:t>
  </x:si>
  <x:si>
    <x:t xml:space="preserve">Customer B</x:t>
  </x:si>
  <x:si>
    <x:t xml:space="preserve">Network Deployment</x:t>
  </x:si>
  <x:si>
    <x:t xml:space="preserve">Closed</x:t>
  </x:si>
  <x:si>
    <x:t xml:space="preserve">P003</x:t>
  </x:si>
  <x:si>
    <x:t xml:space="preserve">Customer C</x:t>
  </x:si>
  <x:si>
    <x:t xml:space="preserve">Maintenance</x:t>
  </x:si>
  <x:si>
    <x:t xml:space="preserve">P004</x:t>
  </x:si>
  <x:si>
    <x:t xml:space="preserve">Customer D</x:t>
  </x:si>
  <x:si>
    <x:t xml:space="preserve">P005</x:t>
  </x:si>
  <x:si>
    <x:t xml:space="preserve">Customer E</x:t>
  </x:si>
  <x:si>
    <x:t xml:space="preserve">P006</x:t>
  </x:si>
  <x:si>
    <x:t xml:space="preserve">Customer F</x:t>
  </x:si>
  <x:si>
    <x:t xml:space="preserve">Avg_Utilization_Pct</x:t>
  </x:si>
  <x:si>
    <x:t xml:space="preserve">Overtime_Hours</x:t>
  </x:si>
  <x:si>
    <x:t xml:space="preserve">Backlog_Count</x:t>
  </x:si>
  <x:si>
    <x:t xml:space="preserve">SLA_Breach_Count</x:t>
  </x:si>
  <x:si>
    <x:t xml:space="preserve">Incident_Count</x:t>
  </x:si>
  <x:si>
    <x:t xml:space="preserve">Turnover_Count</x:t>
  </x:si>
  <x:si>
    <x:t xml:space="preserve">Critical_Role_Dependency</x:t>
  </x:si>
  <x:si>
    <x:t xml:space="preserve">Medium</x:t>
  </x:si>
  <x:si>
    <x:t xml:space="preserve">High</x:t>
  </x:si>
  <x:si>
    <x:t xml:space="preserve">Low</x:t>
  </x:si>
  <x:si>
    <x:t xml:space="preserve">Months_Closed</x:t>
  </x:si>
  <x:si>
    <x:t xml:space="preserve">Period_Type</x:t>
  </x:si>
  <x:si>
    <x:t xml:space="preserve">Period_Label</x:t>
  </x:si>
  <x:si>
    <x:t xml:space="preserve">Annualization_Factor</x:t>
  </x:si>
  <x:si>
    <x:t xml:space="preserve">Data_Confidence</x:t>
  </x:si>
  <x:si>
    <x:t xml:space="preserve">FY</x:t>
  </x:si>
  <x:si>
    <x:t xml:space="preserve">FY 2021</x:t>
  </x:si>
  <x:si>
    <x:t xml:space="preserve">Full year actual. Comparable with other FY periods.</x:t>
  </x:si>
  <x:si>
    <x:t xml:space="preserve">FY 2022</x:t>
  </x:si>
  <x:si>
    <x:t xml:space="preserve">FY 2023</x:t>
  </x:si>
  <x:si>
    <x:t xml:space="preserve">FY 2024</x:t>
  </x:si>
  <x:si>
    <x:t xml:space="preserve">YTD</x:t>
  </x:si>
  <x:si>
    <x:t xml:space="preserve">FY 2025</x:t>
  </x:si>
  <x:si>
    <x:t xml:space="preserve">YTD Jun 2026</x:t>
  </x:si>
  <x:si>
    <x:t xml:space="preserve">YTD actual. Use Annualized mode for fair directional comparison vs FY periods.</x:t>
  </x:si>
</x:sst>
</file>

<file path=xl/styles.xml><?xml version="1.0" encoding="utf-8"?>
<x:styleSheet xmlns:x="http://schemas.openxmlformats.org/spreadsheetml/2006/main">
  <x:numFmts count="5">
    <x:numFmt numFmtId="41" formatCode="_-* #,##0_-;\-* #,##0_-;_-* &quot;-&quot;_-;_-@_-"/>
    <x:numFmt numFmtId="164" formatCode="0.0%"/>
    <x:numFmt numFmtId="165" formatCode="yyyy\-mm\-dd"/>
    <x:numFmt numFmtId="166" formatCode="0.0"/>
    <x:numFmt numFmtId="167" formatCode="0.00\x"/>
  </x:numFmts>
  <x:fonts count="6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  <x:font>
      <x:b/>
      <x:sz val="11"/>
      <x:name val="Carlito"/>
    </x:font>
    <x:font>
      <x:sz val="11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1E3A8A"/>
      </x:patternFill>
    </x:fill>
    <x:fill>
      <x:patternFill patternType="solid">
        <x:fgColor rgb="FF0F172A"/>
      </x:patternFill>
    </x:fill>
    <x:fill>
      <x:patternFill patternType="solid">
        <x:fgColor rgb="FF1E3A8A"/>
      </x:patternFill>
    </x:fill>
    <x:fill>
      <x:patternFill patternType="solid">
        <x:fgColor rgb="FF0F172A"/>
      </x:patternFill>
    </x:fill>
    <x:fill>
      <x:patternFill patternType="solid">
        <x:fgColor rgb="FF1E3A8A"/>
      </x:patternFill>
    </x:fill>
    <x:fill>
      <x:patternFill patternType="solid">
        <x:fgColor rgb="FF0F172A"/>
      </x:patternFill>
    </x:fill>
    <x:fill>
      <x:patternFill patternType="solid">
        <x:fgColor rgb="FF0F172A"/>
      </x:patternFill>
    </x:fill>
    <x:fill>
      <x:patternFill patternType="solid">
        <x:fgColor rgb="FF0F172A"/>
      </x:patternFill>
    </x:fill>
  </x:fills>
  <x:borders count="2">
    <x:border/>
    <x:border/>
  </x:borders>
  <x:cellStyleXfs count="2">
    <x:xf numFmtId="0" fontId="0" fillId="0" borderId="0"/>
    <x:xf numFmtId="41" fontId="5" fillId="0" borderId="0" applyFont="0" applyFill="0" applyBorder="0" applyAlignment="0" applyProtection="0"/>
  </x:cellStyleXfs>
  <x:cellXfs count="80">
    <x:xf numFmtId="0" fontId="0" fillId="0" borderId="0" xfId="0"/>
    <x:xf numFmtId="0" fontId="1" fillId="2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164" fontId="0" fillId="0" borderId="0" xfId="0" applyNumberFormat="1" applyFont="1" applyFill="1" applyBorder="1" applyAlignment="1">
      <x:alignment wrapText="1"/>
    </x:xf>
    <x:xf numFmtId="165" fontId="2" fillId="3" borderId="0" xfId="0" applyNumberFormat="1" applyFont="1" applyFill="1" applyBorder="1" applyAlignment="1">
      <x:alignment horizontal="center" vertical="center" wrapText="1"/>
    </x:xf>
    <x:xf numFmtId="0" fontId="3" fillId="2" borderId="0" xfId="0" applyNumberFormat="1" applyFont="1" applyFill="1" applyBorder="1"/>
    <x:xf numFmtId="3" fontId="0" fillId="0" borderId="0" xfId="0" applyNumberFormat="1" applyFont="1" applyFill="1" applyBorder="1" applyAlignment="1">
      <x:alignment wrapText="1"/>
    </x:xf>
    <x:xf numFmtId="166" fontId="0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wrapText="1"/>
    </x:xf>
    <x:xf numFmtId="0" fontId="2" fillId="3" borderId="0" xfId="0" applyNumberFormat="1" applyFont="1" applyFill="1" applyAlignment="1">
      <x:alignment horizontal="center" vertical="center" wrapText="1"/>
    </x:xf>
    <x:xf numFmtId="3" fontId="2" fillId="3" borderId="0" xfId="0" applyNumberFormat="1" applyFont="1" applyFill="1" applyAlignment="1">
      <x:alignment horizontal="center" vertical="center" wrapText="1"/>
    </x:xf>
    <x:xf numFmtId="164" fontId="2" fillId="3" borderId="0" xfId="0" applyNumberFormat="1" applyFont="1" applyFill="1" applyAlignment="1">
      <x:alignment horizontal="center" vertical="center" wrapText="1"/>
    </x:xf>
    <x:xf numFmtId="0" fontId="0" fillId="0" borderId="0" xfId="0" applyNumberFormat="1" applyFont="1" applyFill="1" applyAlignment="1">
      <x:alignment wrapText="1"/>
    </x:xf>
    <x:xf numFmtId="0" fontId="0" fillId="0" borderId="0" xfId="0" applyNumberFormat="1" applyFont="1" applyFill="1"/>
    <x:xf numFmtId="0" fontId="2" fillId="4" borderId="0" xfId="0" applyNumberFormat="1" applyFont="1" applyFill="1" applyBorder="1" applyAlignment="1">
      <x:alignment wrapText="1"/>
    </x:xf>
    <x:xf numFmtId="0" fontId="2" fillId="5" borderId="0" xfId="0" applyNumberFormat="1" applyFont="1" applyFill="1" applyAlignment="1">
      <x:alignment horizontal="center" vertical="center" wrapText="1"/>
    </x:xf>
    <x:xf numFmtId="167" fontId="2" fillId="5" borderId="0" xfId="0" applyNumberFormat="1" applyFont="1" applyFill="1" applyAlignment="1">
      <x:alignment horizontal="center" vertical="center" wrapText="1"/>
    </x:xf>
    <x:xf numFmtId="0" fontId="2" fillId="6" borderId="0" xfId="0" applyNumberFormat="1" applyFont="1" applyFill="1" applyBorder="1" applyAlignment="1">
      <x:alignment wrapText="1"/>
    </x:xf>
    <x:xf numFmtId="41" fontId="0" fillId="0" borderId="0" xfId="1" applyFont="1" applyFill="1" applyAlignment="1">
      <x:alignment wrapText="1"/>
    </x:xf>
    <x:xf numFmtId="41" fontId="0" fillId="0" borderId="0" xfId="0" applyNumberFormat="1"/>
    <x:xf numFmtId="0" fontId="0" fillId="0" borderId="1" xfId="0" applyNumberFormat="1" applyFont="1" applyFill="1" applyBorder="1"/>
    <x:xf numFmtId="0" fontId="1" fillId="2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164" fontId="0" fillId="0" borderId="1" xfId="0" applyNumberFormat="1" applyFont="1" applyFill="1" applyBorder="1" applyAlignment="1">
      <x:alignment wrapText="1"/>
    </x:xf>
    <x:xf numFmtId="165" fontId="2" fillId="3" borderId="1" xfId="0" applyNumberFormat="1" applyFont="1" applyFill="1" applyBorder="1" applyAlignment="1">
      <x:alignment horizontal="center" vertical="center" wrapText="1"/>
    </x:xf>
    <x:xf numFmtId="0" fontId="3" fillId="2" borderId="1" xfId="0" applyNumberFormat="1" applyFont="1" applyFill="1" applyBorder="1"/>
    <x:xf numFmtId="3" fontId="0" fillId="0" borderId="1" xfId="0" applyNumberFormat="1" applyFont="1" applyFill="1" applyBorder="1" applyAlignment="1">
      <x:alignment wrapText="1"/>
    </x:xf>
    <x:xf numFmtId="166" fontId="0" fillId="0" borderId="1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wrapText="1"/>
    </x:xf>
    <x:xf numFmtId="3" fontId="2" fillId="3" borderId="1" xfId="0" applyNumberFormat="1" applyFont="1" applyFill="1" applyBorder="1" applyAlignment="1">
      <x:alignment horizontal="center" vertical="center" wrapText="1"/>
    </x:xf>
    <x:xf numFmtId="164" fontId="2" fillId="3" borderId="1" xfId="0" applyNumberFormat="1" applyFont="1" applyFill="1" applyBorder="1" applyAlignment="1">
      <x:alignment horizontal="center" vertical="center" wrapText="1"/>
    </x:xf>
    <x:xf numFmtId="0" fontId="2" fillId="2" borderId="1" xfId="0" applyNumberFormat="1" applyFont="1" applyFill="1" applyBorder="1" applyAlignment="1">
      <x:alignment wrapText="1"/>
    </x:xf>
    <x:xf numFmtId="167" fontId="2" fillId="3" borderId="1" xfId="0" applyNumberFormat="1" applyFont="1" applyFill="1" applyBorder="1" applyAlignment="1">
      <x:alignment horizontal="center" vertical="center" wrapText="1"/>
    </x:xf>
    <x:xf numFmtId="41" fontId="0" fillId="0" borderId="1" xfId="0" applyNumberFormat="1" applyFont="1" applyFill="1" applyBorder="1" applyAlignment="1">
      <x:alignment wrapText="1"/>
    </x:xf>
    <x:xf numFmtId="41" fontId="0" fillId="0" borderId="1" xfId="0" applyNumberFormat="1" applyFont="1" applyFill="1" applyBorder="1"/>
    <x:xf numFmtId="0" fontId="0" fillId="7" borderId="0" xfId="0" applyNumberFormat="1" applyFont="1" applyFill="1" applyBorder="1"/>
    <x:xf numFmtId="0" fontId="2" fillId="7" borderId="0" xfId="0" applyNumberFormat="1" applyFont="1" applyFill="1" applyBorder="1"/>
    <x:xf numFmtId="0" fontId="2" fillId="7" borderId="0" xfId="0" applyNumberFormat="1" applyFont="1" applyFill="1" applyBorder="1" applyAlignment="1">
      <x:alignment wrapText="1"/>
    </x:xf>
    <x:xf numFmtId="0" fontId="2" fillId="7" borderId="0" xfId="0" applyNumberFormat="1" applyFont="1" applyFill="1" applyBorder="1" applyAlignment="1">
      <x:alignment horizontal="center" wrapText="1"/>
    </x:xf>
    <x:xf numFmtId="0" fontId="2" fillId="7" borderId="0" xfId="0" applyNumberFormat="1" applyFont="1" applyFill="1" applyBorder="1" applyAlignment="1">
      <x:alignment horizontal="center" vertical="center" wrapText="1"/>
    </x:xf>
    <x:xf numFmtId="0" fontId="0" fillId="7" borderId="1" xfId="0" applyNumberFormat="1" applyFont="1" applyFill="1" applyBorder="1"/>
    <x:xf numFmtId="0" fontId="2" fillId="7" borderId="1" xfId="0" applyNumberFormat="1" applyFont="1" applyFill="1" applyBorder="1"/>
    <x:xf numFmtId="0" fontId="2" fillId="7" borderId="1" xfId="0" applyNumberFormat="1" applyFont="1" applyFill="1" applyBorder="1" applyAlignment="1">
      <x:alignment wrapText="1"/>
    </x:xf>
    <x:xf numFmtId="0" fontId="2" fillId="7" borderId="1" xfId="0" applyNumberFormat="1" applyFont="1" applyFill="1" applyBorder="1" applyAlignment="1">
      <x:alignment horizontal="center" wrapText="1"/>
    </x:xf>
    <x:xf numFmtId="0" fontId="2" fillId="7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/>
    <x:xf numFmtId="3" fontId="2" fillId="3" borderId="0" xfId="0" applyNumberFormat="1" applyFont="1" applyFill="1" applyBorder="1" applyAlignment="1">
      <x:alignment horizontal="center" vertical="center" wrapText="1"/>
    </x:xf>
    <x:xf numFmtId="164" fontId="2" fillId="3" borderId="0" xfId="0" applyNumberFormat="1" applyFont="1" applyFill="1" applyBorder="1" applyAlignment="1">
      <x:alignment horizontal="center" vertical="center" wrapText="1"/>
    </x:xf>
    <x:xf numFmtId="0" fontId="2" fillId="2" borderId="0" xfId="0" applyNumberFormat="1" applyFont="1" applyFill="1" applyBorder="1" applyAlignment="1">
      <x:alignment wrapText="1"/>
    </x:xf>
    <x:xf numFmtId="167" fontId="2" fillId="3" borderId="0" xfId="0" applyNumberFormat="1" applyFont="1" applyFill="1" applyBorder="1" applyAlignment="1">
      <x:alignment horizontal="center" vertical="center" wrapText="1"/>
    </x:xf>
    <x:xf numFmtId="41" fontId="0" fillId="0" borderId="0" xfId="0" applyNumberFormat="1" applyFont="1" applyFill="1" applyBorder="1" applyAlignment="1">
      <x:alignment wrapText="1"/>
    </x:xf>
    <x:xf numFmtId="41" fontId="0" fillId="0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0" fillId="8" borderId="0" xfId="0" applyNumberFormat="1" applyFont="1" applyFill="1" applyBorder="1"/>
    <x:xf numFmtId="0" fontId="2" fillId="8" borderId="0" xfId="0" applyNumberFormat="1" applyFont="1" applyFill="1" applyBorder="1"/>
    <x:xf numFmtId="0" fontId="2" fillId="8" xfId="0" applyNumberFormat="1" applyFont="1" applyFill="1" applyBorder="0"/>
    <x:xf numFmtId="0" fontId="2" fillId="8" xfId="0" applyNumberFormat="1" applyFont="1" applyFill="1" applyBorder="0" applyAlignment="1">
      <x:alignment wrapText="1"/>
    </x:xf>
    <x:xf numFmtId="0" fontId="2" fillId="8" xfId="0" applyNumberFormat="1" applyFont="1" applyFill="1" applyBorder="0" applyAlignment="1">
      <x:alignment horizontal="center" wrapText="1"/>
    </x:xf>
    <x:xf numFmtId="0" fontId="2" fillId="8" xfId="0" applyNumberFormat="1" applyFont="1" applyFill="1" applyBorder="0" applyAlignment="1">
      <x:alignment horizontal="center" vertical="center" wrapText="1"/>
    </x:xf>
    <x:xf numFmtId="0" fontId="0" fillId="0" xfId="0" applyNumberFormat="1" applyFont="1" applyFill="1" applyBorder="0"/>
    <x:xf numFmtId="0" fontId="2" fillId="3" xfId="0" applyNumberFormat="1" applyFont="1" applyFill="1" applyBorder="0"/>
    <x:xf numFmtId="0" fontId="2" fillId="3" xfId="0" applyNumberFormat="1" applyFont="1" applyFill="1" applyBorder="0" applyAlignment="1">
      <x:alignment wrapText="1"/>
    </x:xf>
    <x:xf numFmtId="0" fontId="2" fillId="3" xfId="0" applyNumberFormat="1" applyFont="1" applyFill="1" applyBorder="0" applyAlignment="1">
      <x:alignment horizontal="center" wrapText="1"/>
    </x:xf>
    <x:xf numFmtId="0" fontId="2" fillId="3" xfId="0" applyNumberFormat="1" applyFont="1" applyFill="1" applyBorder="0" applyAlignment="1">
      <x:alignment horizontal="center" vertical="center" wrapText="1"/>
    </x:xf>
    <x:xf numFmtId="0" fontId="3" fillId="9" borderId="0" xfId="0" applyNumberFormat="1" applyFont="1" applyFill="1" applyBorder="1"/>
    <x:xf numFmtId="0" fontId="0" fillId="9" borderId="0" xfId="0" applyNumberFormat="1" applyFont="1" applyFill="1" applyBorder="1"/>
    <x:xf numFmtId="0" fontId="2" fillId="9" borderId="0" xfId="0" applyNumberFormat="1" applyFont="1" applyFill="1" applyBorder="1"/>
    <x:xf numFmtId="0" fontId="3" fillId="9" xfId="0" applyNumberFormat="1" applyFont="1" applyFill="1" applyBorder="0"/>
    <x:xf numFmtId="0" fontId="2" fillId="9" xfId="0" applyNumberFormat="1" applyFont="1" applyFill="1" applyBorder="0"/>
    <x:xf numFmtId="0" fontId="3" fillId="9" xfId="0" applyNumberFormat="1" applyFont="1" applyFill="1" applyBorder="0" applyAlignment="1">
      <x:alignment wrapText="1"/>
    </x:xf>
    <x:xf numFmtId="0" fontId="2" fillId="9" xfId="0" applyNumberFormat="1" applyFont="1" applyFill="1" applyBorder="0" applyAlignment="1">
      <x:alignment wrapText="1"/>
    </x:xf>
    <x:xf numFmtId="0" fontId="3" fillId="9" xfId="0" applyNumberFormat="1" applyFont="1" applyFill="1" applyBorder="0" applyAlignment="1">
      <x:alignment horizontal="center" wrapText="1"/>
    </x:xf>
    <x:xf numFmtId="0" fontId="2" fillId="9" xfId="0" applyNumberFormat="1" applyFont="1" applyFill="1" applyBorder="0" applyAlignment="1">
      <x:alignment horizontal="center" wrapText="1"/>
    </x:xf>
    <x:xf numFmtId="0" fontId="3" fillId="9" xfId="0" applyNumberFormat="1" applyFont="1" applyFill="1" applyBorder="0" applyAlignment="1">
      <x:alignment horizontal="center" vertical="center" wrapText="1"/>
    </x:xf>
    <x:xf numFmtId="0" fontId="2" fillId="9" xfId="0" applyNumberFormat="1" applyFont="1" applyFill="1" applyBorder="0" applyAlignment="1">
      <x:alignment horizontal="center" vertical="center" wrapText="1"/>
    </x:xf>
  </x:cellXfs>
  <x:cellStyles count="2">
    <x:cellStyle name="Comma [0]" xfId="1"/>
    <x:cellStyle name="Normal" xfId="0"/>
  </x:cellStyles>
  <x:dxfs count="2">
    <x:dxf>
      <x:fill>
        <x:patternFill>
          <x:bgColor rgb="FFFECACA"/>
        </x:patternFill>
      </x:fill>
    </x:dxf>
    <x:dxf>
      <x:fill>
        <x:patternFill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19801a84ad94418" /><Relationship Type="http://schemas.openxmlformats.org/officeDocument/2006/relationships/theme" Target="/xl/theme/theme1.xml" Id="R95bf777c6805433c" /><Relationship Type="http://schemas.openxmlformats.org/officeDocument/2006/relationships/sharedStrings" Target="/xl/sharedStrings.xml" Id="R9f6931789e904352" /><Relationship Type="http://schemas.openxmlformats.org/officeDocument/2006/relationships/worksheet" Target="/xl/worksheets/sheet1.xml" Id="Rc98ebf46c8814f70" /><Relationship Type="http://schemas.openxmlformats.org/officeDocument/2006/relationships/worksheet" Target="/xl/worksheets/sheet2.xml" Id="R84edda4a1e2045f9" /><Relationship Type="http://schemas.openxmlformats.org/officeDocument/2006/relationships/worksheet" Target="/xl/worksheets/sheet3.xml" Id="Rcd2d7d43b369495f" /><Relationship Type="http://schemas.openxmlformats.org/officeDocument/2006/relationships/worksheet" Target="/xl/worksheets/sheet4.xml" Id="R8c5b3e04d7354164" /><Relationship Type="http://schemas.openxmlformats.org/officeDocument/2006/relationships/worksheet" Target="/xl/worksheets/sheet5.xml" Id="Rabb6bba306fa443b" /><Relationship Type="http://schemas.openxmlformats.org/officeDocument/2006/relationships/worksheet" Target="/xl/worksheets/sheet6.xml" Id="R0d911626639e40bc" /><Relationship Type="http://schemas.openxmlformats.org/officeDocument/2006/relationships/worksheet" Target="/xl/worksheets/sheet7.xml" Id="R28517d0f2a5649bd" /><Relationship Type="http://schemas.openxmlformats.org/officeDocument/2006/relationships/worksheet" Target="/xl/worksheets/sheet8.xml" Id="R88e05e3ba11f4f0e" /><Relationship Type="http://schemas.openxmlformats.org/officeDocument/2006/relationships/worksheet" Target="/xl/worksheets/sheet9.xml" Id="R0a9abef786f04604" /><Relationship Type="http://schemas.openxmlformats.org/officeDocument/2006/relationships/worksheet" Target="/xl/worksheets/sheet10.xml" Id="R89a655970ee743f2" /><Relationship Type="http://schemas.openxmlformats.org/officeDocument/2006/relationships/worksheet" Target="/xl/worksheets/sheet11.xml" Id="R30ca8df8acb146b5" /><Relationship Type="http://schemas.openxmlformats.org/officeDocument/2006/relationships/worksheet" Target="/xl/worksheets/sheet12.xml" Id="R4f2eccd2dc764ad7" /><Relationship Type="http://schemas.openxmlformats.org/officeDocument/2006/relationships/worksheet" Target="/xl/worksheets/sheet13.xml" Id="R4abe363a6fe04385" /><Relationship Type="http://schemas.openxmlformats.org/officeDocument/2006/relationships/worksheet" Target="/xl/worksheets/sheet14.xml" Id="Rdf17d76cd2f044e5" /><Relationship Type="http://schemas.openxmlformats.org/officeDocument/2006/relationships/worksheet" Target="/xl/worksheets/sheet15.xml" Id="R1b880bb67f3e40d8" /><Relationship Type="http://schemas.openxmlformats.org/officeDocument/2006/relationships/worksheet" Target="/xl/worksheets/sheet16.xml" Id="Re056f8fd9812436d" /><Relationship Type="http://schemas.openxmlformats.org/officeDocument/2006/relationships/worksheet" Target="/xl/worksheets/sheet17.xml" Id="Re3046300186a44ba" /><Relationship Type="http://schemas.openxmlformats.org/officeDocument/2006/relationships/worksheet" Target="/xl/worksheets/sheet18.xml" Id="Rcd286d2ee1214f46" /><Relationship Type="http://schemas.openxmlformats.org/officeDocument/2006/relationships/worksheet" Target="/xl/worksheets/sheet19.xml" Id="R7c2142ffe78046c1" /></Relationships>
</file>

<file path=xl/tables/table1.xml><?xml version="1.0" encoding="utf-8"?>
<x:table xmlns:x="http://schemas.openxmlformats.org/spreadsheetml/2006/main" id="1" name="TargetsTable" displayName="TargetsTable" ref="A1:E15">
  <x:tableColumns count="5">
    <x:tableColumn id="1" name="KPI"/>
    <x:tableColumn id="2" name="Target_Value"/>
    <x:tableColumn id="3" name="Unit"/>
    <x:tableColumn id="4" name="Threshold_Band"/>
    <x:tableColumn id="5" name="Board_Use"/>
  </x:tableColumns>
  <x:tableStyleInfo name="TableStyleMedium2" showRowStripes="1"/>
</x:table>
</file>

<file path=xl/tables/table2.xml><?xml version="1.0" encoding="utf-8"?>
<x:table xmlns:x="http://schemas.openxmlformats.org/spreadsheetml/2006/main" id="2" name="FJAMappingTable" displayName="FJAMappingTable" ref="A1:E7">
  <x:tableColumns count="5">
    <x:tableColumn id="1" name="Function_Group"/>
    <x:tableColumn id="2" name="FJA_Category"/>
    <x:tableColumn id="3" name="Value_Role"/>
    <x:tableColumn id="4" name="Revenue_Impact"/>
    <x:tableColumn id="5" name="Board_Interpretation"/>
  </x:tableColumns>
  <x:tableStyleInfo name="TableStyleMedium2" showRowStripes="1"/>
</x:table>
</file>

<file path=xl/tables/table3.xml><?xml version="1.0" encoding="utf-8"?>
<x:table xmlns:x="http://schemas.openxmlformats.org/spreadsheetml/2006/main" id="3" name="DimDepartmentTable" displayName="DimDepartmentTable" ref="A1:F8">
  <x:tableColumns count="6">
    <x:tableColumn id="1" name="Dept_ID"/>
    <x:tableColumn id="2" name="Dept_Name"/>
    <x:tableColumn id="3" name="Function_Group"/>
    <x:tableColumn id="4" name="Revenue_Driver_Flag"/>
    <x:tableColumn id="5" name="FJA_Category_Override"/>
    <x:tableColumn id="6" name="Notes"/>
  </x:tableColumns>
  <x:tableStyleInfo name="TableStyleMedium2" showRowStripes="1"/>
</x:table>
</file>

<file path=xl/tables/table4.xml><?xml version="1.0" encoding="utf-8"?>
<x:table xmlns:x="http://schemas.openxmlformats.org/spreadsheetml/2006/main" id="4" name="DimEmployeeTable" displayName="DimEmployeeTable" ref="A1:I4">
  <x:tableColumns count="9">
    <x:tableColumn id="1" name="Employee_ID"/>
    <x:tableColumn id="2" name="Employee_Name"/>
    <x:tableColumn id="3" name="Dept_ID"/>
    <x:tableColumn id="4" name="Position"/>
    <x:tableColumn id="5" name="Employment_Type"/>
    <x:tableColumn id="6" name="Join_Date"/>
    <x:tableColumn id="7" name="Exit_Date"/>
    <x:tableColumn id="8" name="Critical_Role_Flag"/>
    <x:tableColumn id="9" name="Notes"/>
  </x:tableColumns>
  <x:tableStyleInfo name="TableStyleMedium2" showRowStripes="1"/>
</x:table>
</file>

<file path=xl/tables/table5.xml><?xml version="1.0" encoding="utf-8"?>
<x:table xmlns:x="http://schemas.openxmlformats.org/spreadsheetml/2006/main" id="5" name="RevenueYearTable" displayName="RevenueYearTable" ref="A1:G6">
  <x:tableColumns count="7">
    <x:tableColumn id="1" name="Year"/>
    <x:tableColumn id="2" name="Business_Line"/>
    <x:tableColumn id="3" name="Revenue_Recognized"/>
    <x:tableColumn id="4" name="COGS_Direct"/>
    <x:tableColumn id="5" name="Gross_Profit"/>
    <x:tableColumn id="6" name="Gross_Margin_Pct"/>
    <x:tableColumn id="7" name="Notes"/>
  </x:tableColumns>
  <x:tableStyleInfo name="TableStyleMedium2" showRowStripes="1"/>
</x:table>
</file>

<file path=xl/tables/table6.xml><?xml version="1.0" encoding="utf-8"?>
<x:table xmlns:x="http://schemas.openxmlformats.org/spreadsheetml/2006/main" id="6" name="RevenueByDeptTable" displayName="RevenueByDeptTable" ref="A1:F16">
  <x:tableColumns count="6">
    <x:tableColumn id="1" name="Year"/>
    <x:tableColumn id="2" name="Dept_ID"/>
    <x:tableColumn id="3" name="Revenue_Recognized"/>
    <x:tableColumn id="4" name="Direct_or_Allocated"/>
    <x:tableColumn id="5" name="Allocation_Method"/>
    <x:tableColumn id="6" name="Notes"/>
  </x:tableColumns>
  <x:tableStyleInfo name="TableStyleMedium2" showRowStripes="1"/>
</x:table>
</file>

<file path=xl/tables/table7.xml><?xml version="1.0" encoding="utf-8"?>
<x:table xmlns:x="http://schemas.openxmlformats.org/spreadsheetml/2006/main" id="7" name="HeadcountYearTable" displayName="HeadcountYearTable" ref="A1:G30">
  <x:tableColumns count="7">
    <x:tableColumn id="1" name="Year"/>
    <x:tableColumn id="2" name="Dept_ID"/>
    <x:tableColumn id="3" name="Avg_Headcount"/>
    <x:tableColumn id="4" name="Avg_FTE"/>
    <x:tableColumn id="5" name="New_Hires"/>
    <x:tableColumn id="6" name="Exits"/>
    <x:tableColumn id="7" name="Notes"/>
  </x:tableColumns>
  <x:tableStyleInfo name="TableStyleMedium2" showRowStripes="1"/>
</x:table>
</file>

<file path=xl/tables/table8.xml><?xml version="1.0" encoding="utf-8"?>
<x:table xmlns:x="http://schemas.openxmlformats.org/spreadsheetml/2006/main" id="8" name="PayrollYearTable" displayName="PayrollYearTable" ref="A1:J31">
  <x:tableColumns count="10">
    <x:tableColumn id="1" name="Year"/>
    <x:tableColumn id="2" name="Dept_ID"/>
    <x:tableColumn id="3" name="Payroll_Gross"/>
    <x:tableColumn id="4" name="Overtime"/>
    <x:tableColumn id="5" name="Bonus"/>
    <x:tableColumn id="6" name="Benefits"/>
    <x:tableColumn id="7" name="Employer_Tax"/>
    <x:tableColumn id="8" name="Total_Manpower_Cost"/>
    <x:tableColumn id="9" name="Payment_Type"/>
    <x:tableColumn id="10" name="Notes"/>
  </x:tableColumns>
  <x:tableStyleInfo name="TableStyleMedium2" showRowStripes="1"/>
</x:table>
</file>

<file path=xl/tables/table9.xml><?xml version="1.0" encoding="utf-8"?>
<x:table xmlns:x="http://schemas.openxmlformats.org/spreadsheetml/2006/main" id="9" name="HCMovementTable" displayName="HCMovementTable" ref="A1:G31">
  <x:tableColumns count="7">
    <x:tableColumn id="1" name="Year"/>
    <x:tableColumn id="2" name="Dept_ID"/>
    <x:tableColumn id="3" name="Joiners"/>
    <x:tableColumn id="4" name="Leavers"/>
    <x:tableColumn id="5" name="Internal_Transfer_In"/>
    <x:tableColumn id="6" name="Internal_Transfer_Out"/>
    <x:tableColumn id="7" name="Notes"/>
  </x:tableColumns>
  <x:tableStyleInfo name="TableStyleMedium2" showRowStripes="1"/>
</x:table>
</file>

<file path=xl/tables/table10.xml><?xml version="1.0" encoding="utf-8"?>
<x:table xmlns:x="http://schemas.openxmlformats.org/spreadsheetml/2006/main" id="10" name="ProjectMarginTable" displayName="ProjectMarginTable" ref="A1:J4">
  <x:tableColumns count="10">
    <x:tableColumn id="1" name="Year"/>
    <x:tableColumn id="2" name="Project_ID"/>
    <x:tableColumn id="3" name="Customer"/>
    <x:tableColumn id="4" name="Business_Line"/>
    <x:tableColumn id="5" name="Revenue"/>
    <x:tableColumn id="6" name="COGS"/>
    <x:tableColumn id="7" name="Gross_Profit"/>
    <x:tableColumn id="8" name="Gross_Margin_Pct"/>
    <x:tableColumn id="9" name="Project_Status"/>
    <x:tableColumn id="10" name="Notes"/>
  </x:tableColumns>
  <x:tableStyleInfo name="TableStyleMedium2" showRowStripes="1"/>
</x:table>
</file>

<file path=xl/tables/table11.xml><?xml version="1.0" encoding="utf-8"?>
<x:table xmlns:x="http://schemas.openxmlformats.org/spreadsheetml/2006/main" id="11" name="CapacityIndicatorTable" displayName="CapacityIndicatorTable" ref="A1:J21">
  <x:tableColumns count="10">
    <x:tableColumn id="1" name="Year"/>
    <x:tableColumn id="2" name="Dept_ID"/>
    <x:tableColumn id="3" name="Avg_Utilization_Pct"/>
    <x:tableColumn id="4" name="Overtime_Hours"/>
    <x:tableColumn id="5" name="Backlog_Count"/>
    <x:tableColumn id="6" name="SLA_Breach_Count"/>
    <x:tableColumn id="7" name="Incident_Count"/>
    <x:tableColumn id="8" name="Turnover_Count"/>
    <x:tableColumn id="9" name="Critical_Role_Dependency"/>
    <x:tableColumn id="10" name="Notes"/>
  </x:tableColumns>
  <x:tableStyleInfo name="TableStyleMedium2" showRowStripes="1"/>
</x:table>
</file>

<file path=xl/tables/table12.xml><?xml version="1.0" encoding="utf-8"?>
<x:table xmlns:x="http://schemas.openxmlformats.org/spreadsheetml/2006/main" id="19" name="CalendarTable" displayName="CalendarTable" ref="A1:G7">
  <x:tableColumns count="7">
    <x:tableColumn id="1" name="Year"/>
    <x:tableColumn id="2" name="Months_Closed"/>
    <x:tableColumn id="3" name="Period_Type"/>
    <x:tableColumn id="4" name="Period_Label"/>
    <x:tableColumn id="5" name="Annualization_Factor"/>
    <x:tableColumn id="6" name="Data_Confidence"/>
    <x:tableColumn id="7" name="Board_Us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518a9bfb4b9948b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be3cd1fdffde42b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3.xml" Id="Rf4dbc1198634466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4a987b67f5eb4dfe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4479213e463843d6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b43710c78e1046c2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7.xml" Id="Rb3b7c8db637843dc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8.xml" Id="R1c094e2e77544373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335913e6cba3454d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4017cabb4f594ee9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1.xml" Id="R485c099552494877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2.xml" Id="Rf6d8a0d91a4e4297" /></Relationships>
</file>

<file path=xl/worksheets/sheet1.xml><?xml version="1.0" encoding="utf-8"?>
<x:worksheet xmlns:x="http://schemas.openxmlformats.org/spreadsheetml/2006/main">
  <x:sheetFormatPr defaultRowHeight="14.25"/>
  <x:cols>
    <x:col min="1" max="1" width="120" customWidth="1"/>
  </x:cols>
  <x:sheetData>
    <x:row r="1" ht="27.950000762939453" customHeight="1">
      <x:c r="A1" s="1" t="s">
        <x:v>0</x:v>
      </x:c>
    </x:row>
    <x:row r="3">
      <x:c r="A3" s="2" t="s">
        <x:v>1</x:v>
      </x:c>
    </x:row>
    <x:row r="4">
      <x:c r="A4" s="2" t="s">
        <x:v>2</x:v>
      </x:c>
    </x:row>
    <x:row r="5">
      <x:c r="A5" s="2" t="s">
        <x:v>3</x:v>
      </x:c>
    </x:row>
    <x:row r="6">
      <x:c r="A6" s="2" t="s">
        <x:v>4</x:v>
      </x:c>
    </x:row>
    <x:row r="7">
      <x:c r="A7" s="2"/>
    </x:row>
    <x:row r="8">
      <x:c r="A8" s="2" t="s">
        <x:v>5</x:v>
      </x:c>
    </x:row>
    <x:row r="9">
      <x:c r="A9" s="2" t="s">
        <x:v>6</x:v>
      </x:c>
    </x:row>
    <x:row r="10">
      <x:c r="A10" s="2" t="s">
        <x:v>7</x:v>
      </x:c>
    </x:row>
    <x:row r="11">
      <x:c r="A11" s="2" t="s">
        <x:v>8</x:v>
      </x:c>
    </x:row>
    <x:row r="12">
      <x:c r="A12" s="2" t="s">
        <x:v>9</x:v>
      </x:c>
    </x:row>
    <x:row r="13">
      <x:c r="A13" s="2"/>
    </x:row>
    <x:row r="14">
      <x:c r="A14" s="2" t="s">
        <x:v>10</x:v>
      </x:c>
    </x:row>
    <x:row r="15">
      <x:c r="A15" s="2" t="s">
        <x:v>11</x:v>
      </x:c>
    </x:row>
    <x:row r="16">
      <x:c r="A16" s="2"/>
    </x:row>
    <x:row r="17">
      <x:c r="A17" s="2" t="s">
        <x:v>12</x:v>
      </x:c>
    </x:row>
    <x:row r="18">
      <x:c r="A18" s="2" t="s">
        <x:v>13</x:v>
      </x:c>
    </x:row>
    <x:row r="19">
      <x:c r="A19" s="2" t="s">
        <x:v>14</x:v>
      </x:c>
    </x:row>
    <x:row r="20">
      <x:c r="A20" s="2" t="s">
        <x:v>15</x:v>
      </x:c>
    </x:row>
    <x:row r="21" ht="15">
      <x:c r="A21" s="15" t="s">
        <x:v>16</x:v>
      </x:c>
    </x:row>
    <x:row r="22">
      <x:c r="A22" s="2" t="s">
        <x:v>17</x:v>
      </x:c>
    </x:row>
    <x:row r="23">
      <x:c r="A23" s="2" t="s">
        <x:v>18</x:v>
      </x:c>
    </x:row>
    <x:row r="24" ht="15">
      <x:c r="A24" s="18" t="s">
        <x:v>19</x:v>
      </x:c>
    </x:row>
    <x:row r="25">
      <x:c r="A25" s="2" t="s">
        <x:v>20</x:v>
      </x:c>
    </x:row>
    <x:row r="26">
      <x:c r="A26" s="2" t="s">
        <x:v>21</x:v>
      </x:c>
    </x:row>
    <x:row r="27">
      <x:c r="A27" s="2" t="s">
        <x:v>22</x:v>
      </x:c>
    </x:row>
    <x:row r="28">
      <x:c r="A28" s="2" t="s">
        <x:v>23</x:v>
      </x:c>
    </x:row>
    <x:row r="29">
      <x:c r="A29" s="2" t="s">
        <x:v>24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4.25"/>
  <x:cols>
    <x:col min="1" max="1" width="30" customWidth="1"/>
    <x:col min="2" max="2" width="24" customWidth="1"/>
    <x:col min="3" max="3" width="70" customWidth="1"/>
  </x:cols>
  <x:sheetData>
    <x:row r="1" ht="15">
      <x:c r="A1" s="3" t="s">
        <x:v>25</x:v>
      </x:c>
      <x:c r="B1" s="3" t="s">
        <x:v>26</x:v>
      </x:c>
      <x:c r="C1" s="3" t="s">
        <x:v>27</x:v>
      </x:c>
    </x:row>
    <x:row r="2">
      <x:c r="A2" s="2" t="s">
        <x:v>28</x:v>
      </x:c>
      <x:c r="B2" s="2" t="s">
        <x:v>29</x:v>
      </x:c>
      <x:c r="C2" s="2" t="s">
        <x:v>30</x:v>
      </x:c>
    </x:row>
    <x:row r="3">
      <x:c r="A3" s="2" t="s">
        <x:v>31</x:v>
      </x:c>
      <x:c r="B3" s="2" t="s">
        <x:v>32</x:v>
      </x:c>
      <x:c r="C3" s="2" t="s">
        <x:v>33</x:v>
      </x:c>
    </x:row>
    <x:row r="4">
      <x:c r="A4" s="2" t="s">
        <x:v>34</x:v>
      </x:c>
      <x:c r="B4" s="2">
        <x:v>2021</x:v>
      </x:c>
      <x:c r="C4" s="2" t="s">
        <x:v>35</x:v>
      </x:c>
    </x:row>
    <x:row r="5">
      <x:c r="A5" s="2" t="s">
        <x:v>36</x:v>
      </x:c>
      <x:c r="B5" s="2">
        <x:v>2026</x:v>
      </x:c>
      <x:c r="C5" s="2" t="s">
        <x:v>37</x:v>
      </x:c>
    </x:row>
    <x:row r="6">
      <x:c r="A6" s="2" t="s">
        <x:v>38</x:v>
      </x:c>
      <x:c r="B6" s="2" t="s">
        <x:v>39</x:v>
      </x:c>
      <x:c r="C6" s="2" t="s">
        <x:v>40</x:v>
      </x:c>
    </x:row>
    <x:row r="7">
      <x:c r="A7" s="2" t="s">
        <x:v>41</x:v>
      </x:c>
      <x:c r="B7" s="2" t="s">
        <x:v>42</x:v>
      </x:c>
      <x:c r="C7" s="2" t="s">
        <x:v>43</x:v>
      </x:c>
    </x:row>
    <x:row r="8">
      <x:c r="A8" s="2" t="s">
        <x:v>44</x:v>
      </x:c>
      <x:c r="B8" s="4">
        <x:v>0.25</x:v>
      </x:c>
      <x:c r="C8" s="2" t="s">
        <x:v>45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4.25"/>
  <x:cols>
    <x:col min="1" max="1" width="38" customWidth="1"/>
    <x:col min="2" max="2" width="16" customWidth="1"/>
    <x:col min="3" max="3" width="10" customWidth="1"/>
    <x:col min="4" max="4" width="28" customWidth="1"/>
    <x:col min="5" max="5" width="65" customWidth="1"/>
  </x:cols>
  <x:sheetData>
    <x:row r="1" ht="15">
      <x:c r="A1" s="3" t="s">
        <x:v>46</x:v>
      </x:c>
      <x:c r="B1" s="3" t="s">
        <x:v>47</x:v>
      </x:c>
      <x:c r="C1" s="3" t="s">
        <x:v>48</x:v>
      </x:c>
      <x:c r="D1" s="3" t="s">
        <x:v>49</x:v>
      </x:c>
      <x:c r="E1" s="3" t="s">
        <x:v>50</x:v>
      </x:c>
    </x:row>
    <x:row r="2">
      <x:c r="A2" s="2" t="s">
        <x:v>51</x:v>
      </x:c>
      <x:c r="B2" s="4">
        <x:v>0.2</x:v>
      </x:c>
      <x:c r="C2" s="2" t="s">
        <x:v>52</x:v>
      </x:c>
      <x:c r="D2" s="2" t="s">
        <x:v>53</x:v>
      </x:c>
      <x:c r="E2" s="2" t="s">
        <x:v>54</x:v>
      </x:c>
    </x:row>
    <x:row r="3">
      <x:c r="A3" s="2" t="s">
        <x:v>55</x:v>
      </x:c>
      <x:c r="B3" s="4">
        <x:v>0.15</x:v>
      </x:c>
      <x:c r="C3" s="2" t="s">
        <x:v>52</x:v>
      </x:c>
      <x:c r="D3" s="2" t="s">
        <x:v>56</x:v>
      </x:c>
      <x:c r="E3" s="2" t="s">
        <x:v>57</x:v>
      </x:c>
    </x:row>
    <x:row r="4">
      <x:c r="A4" s="2" t="s">
        <x:v>58</x:v>
      </x:c>
      <x:c r="B4" s="4">
        <x:v>0.1</x:v>
      </x:c>
      <x:c r="C4" s="2" t="s">
        <x:v>52</x:v>
      </x:c>
      <x:c r="D4" s="2" t="s">
        <x:v>59</x:v>
      </x:c>
      <x:c r="E4" s="2" t="s">
        <x:v>60</x:v>
      </x:c>
    </x:row>
    <x:row r="5">
      <x:c r="A5" s="2" t="s">
        <x:v>61</x:v>
      </x:c>
      <x:c r="B5" s="4">
        <x:v>0.05</x:v>
      </x:c>
      <x:c r="C5" s="2" t="s">
        <x:v>52</x:v>
      </x:c>
      <x:c r="D5" s="2" t="s">
        <x:v>62</x:v>
      </x:c>
      <x:c r="E5" s="2" t="s">
        <x:v>63</x:v>
      </x:c>
    </x:row>
    <x:row r="6">
      <x:c r="A6" s="2" t="s">
        <x:v>64</x:v>
      </x:c>
      <x:c r="B6" s="4">
        <x:v>0.05</x:v>
      </x:c>
      <x:c r="C6" s="2" t="s">
        <x:v>52</x:v>
      </x:c>
      <x:c r="D6" s="2" t="s">
        <x:v>65</x:v>
      </x:c>
      <x:c r="E6" s="2" t="s">
        <x:v>66</x:v>
      </x:c>
    </x:row>
    <x:row r="7">
      <x:c r="A7" s="2" t="s">
        <x:v>67</x:v>
      </x:c>
      <x:c r="B7" s="4">
        <x:v>7.0000000000000007E-2</x:v>
      </x:c>
      <x:c r="C7" s="2" t="s">
        <x:v>52</x:v>
      </x:c>
      <x:c r="D7" s="2" t="s">
        <x:v>65</x:v>
      </x:c>
      <x:c r="E7" s="2" t="s">
        <x:v>68</x:v>
      </x:c>
    </x:row>
    <x:row r="8">
      <x:c r="A8" s="2" t="s">
        <x:v>69</x:v>
      </x:c>
      <x:c r="B8" s="4">
        <x:v>0.09</x:v>
      </x:c>
      <x:c r="C8" s="2" t="s">
        <x:v>52</x:v>
      </x:c>
      <x:c r="D8" s="2" t="s">
        <x:v>70</x:v>
      </x:c>
      <x:c r="E8" s="2" t="s">
        <x:v>71</x:v>
      </x:c>
    </x:row>
    <x:row r="9">
      <x:c r="A9" s="2" t="s">
        <x:v>72</x:v>
      </x:c>
      <x:c r="B9" s="4">
        <x:v>0.14000000000000001</x:v>
      </x:c>
      <x:c r="C9" s="2" t="s">
        <x:v>52</x:v>
      </x:c>
      <x:c r="D9" s="2" t="s">
        <x:v>73</x:v>
      </x:c>
      <x:c r="E9" s="2" t="s">
        <x:v>74</x:v>
      </x:c>
    </x:row>
    <x:row r="10">
      <x:c r="A10" s="2" t="s">
        <x:v>75</x:v>
      </x:c>
      <x:c r="B10" s="4">
        <x:v>0.14000000000000001</x:v>
      </x:c>
      <x:c r="C10" s="2" t="s">
        <x:v>52</x:v>
      </x:c>
      <x:c r="D10" s="2" t="s">
        <x:v>76</x:v>
      </x:c>
      <x:c r="E10" s="2" t="s">
        <x:v>77</x:v>
      </x:c>
    </x:row>
    <x:row r="11">
      <x:c r="A11" s="2" t="s">
        <x:v>78</x:v>
      </x:c>
      <x:c r="B11" s="4">
        <x:v>0.35</x:v>
      </x:c>
      <x:c r="C11" s="2" t="s">
        <x:v>52</x:v>
      </x:c>
      <x:c r="D11" s="2" t="s">
        <x:v>79</x:v>
      </x:c>
      <x:c r="E11" s="2" t="s">
        <x:v>80</x:v>
      </x:c>
    </x:row>
    <x:row r="12">
      <x:c r="A12" s="2" t="s">
        <x:v>44</x:v>
      </x:c>
      <x:c r="B12" s="4">
        <x:v>0.25</x:v>
      </x:c>
      <x:c r="C12" s="2" t="s">
        <x:v>52</x:v>
      </x:c>
      <x:c r="D12" s="2" t="s">
        <x:v>81</x:v>
      </x:c>
      <x:c r="E12" s="2" t="s">
        <x:v>82</x:v>
      </x:c>
    </x:row>
    <x:row r="13">
      <x:c r="A13" s="2" t="s">
        <x:v>83</x:v>
      </x:c>
      <x:c r="B13" s="4">
        <x:v>0.15</x:v>
      </x:c>
      <x:c r="C13" s="2" t="s">
        <x:v>52</x:v>
      </x:c>
      <x:c r="D13" s="2" t="s">
        <x:v>84</x:v>
      </x:c>
      <x:c r="E13" s="2" t="s">
        <x:v>85</x:v>
      </x:c>
    </x:row>
    <x:row r="14">
      <x:c r="A14" s="2" t="s">
        <x:v>86</x:v>
      </x:c>
      <x:c r="B14" s="4">
        <x:v>0.1</x:v>
      </x:c>
      <x:c r="C14" s="2" t="s">
        <x:v>52</x:v>
      </x:c>
      <x:c r="D14" s="2" t="s">
        <x:v>87</x:v>
      </x:c>
      <x:c r="E14" s="2" t="s">
        <x:v>88</x:v>
      </x:c>
    </x:row>
    <x:row r="15">
      <x:c r="A15" s="2" t="s">
        <x:v>89</x:v>
      </x:c>
      <x:c r="B15" s="4">
        <x:v>0.1</x:v>
      </x:c>
      <x:c r="C15" s="2" t="s">
        <x:v>52</x:v>
      </x:c>
      <x:c r="D15" s="2" t="s">
        <x:v>90</x:v>
      </x:c>
      <x:c r="E15" s="2" t="s">
        <x:v>91</x:v>
      </x:c>
    </x:row>
  </x:sheetData>
  <x:pageMargins left="0.7" right="0.7" top="0.75" bottom="0.75" header="0.3" footer="0.3"/>
  <x:tableParts count="1">
    <x:tablePart xmlns:r="http://schemas.openxmlformats.org/officeDocument/2006/relationships" r:id="R518a9bfb4b9948bc"/>
  </x:tableParts>
</x:worksheet>
</file>

<file path=xl/worksheets/sheet4.xml><?xml version="1.0" encoding="utf-8"?>
<x:worksheet xmlns:x="http://schemas.openxmlformats.org/spreadsheetml/2006/main">
  <x:sheetFormatPr defaultRowHeight="14.25"/>
  <x:cols>
    <x:col min="1" max="1" width="24" customWidth="1"/>
    <x:col min="2" max="2" width="28" customWidth="1"/>
    <x:col min="3" max="3" width="34" customWidth="1"/>
    <x:col min="4" max="4" width="18" customWidth="1"/>
    <x:col min="5" max="5" width="70" customWidth="1"/>
  </x:cols>
  <x:sheetData>
    <x:row r="1" ht="15">
      <x:c r="A1" s="3" t="s">
        <x:v>92</x:v>
      </x:c>
      <x:c r="B1" s="3" t="s">
        <x:v>93</x:v>
      </x:c>
      <x:c r="C1" s="3" t="s">
        <x:v>94</x:v>
      </x:c>
      <x:c r="D1" s="3" t="s">
        <x:v>95</x:v>
      </x:c>
      <x:c r="E1" s="3" t="s">
        <x:v>96</x:v>
      </x:c>
    </x:row>
    <x:row r="2" ht="28.5">
      <x:c r="A2" s="2" t="s">
        <x:v>97</x:v>
      </x:c>
      <x:c r="B2" s="2" t="s">
        <x:v>98</x:v>
      </x:c>
      <x:c r="C2" s="2" t="s">
        <x:v>99</x:v>
      </x:c>
      <x:c r="D2" s="2" t="s">
        <x:v>100</x:v>
      </x:c>
      <x:c r="E2" s="2" t="s">
        <x:v>101</x:v>
      </x:c>
    </x:row>
    <x:row r="3" ht="28.5">
      <x:c r="A3" s="2" t="s">
        <x:v>102</x:v>
      </x:c>
      <x:c r="B3" s="2" t="s">
        <x:v>103</x:v>
      </x:c>
      <x:c r="C3" s="2" t="s">
        <x:v>104</x:v>
      </x:c>
      <x:c r="D3" s="2" t="s">
        <x:v>105</x:v>
      </x:c>
      <x:c r="E3" s="2" t="s">
        <x:v>106</x:v>
      </x:c>
    </x:row>
    <x:row r="4" ht="28.5">
      <x:c r="A4" s="2" t="s">
        <x:v>107</x:v>
      </x:c>
      <x:c r="B4" s="2" t="s">
        <x:v>103</x:v>
      </x:c>
      <x:c r="C4" s="2" t="s">
        <x:v>108</x:v>
      </x:c>
      <x:c r="D4" s="2" t="s">
        <x:v>105</x:v>
      </x:c>
      <x:c r="E4" s="2" t="s">
        <x:v>109</x:v>
      </x:c>
    </x:row>
    <x:row r="5" ht="28.5">
      <x:c r="A5" s="2" t="s">
        <x:v>110</x:v>
      </x:c>
      <x:c r="B5" s="2" t="s">
        <x:v>111</x:v>
      </x:c>
      <x:c r="C5" s="2" t="s">
        <x:v>112</x:v>
      </x:c>
      <x:c r="D5" s="2" t="s">
        <x:v>113</x:v>
      </x:c>
      <x:c r="E5" s="2" t="s">
        <x:v>114</x:v>
      </x:c>
    </x:row>
    <x:row r="6" ht="28.5">
      <x:c r="A6" s="2" t="s">
        <x:v>115</x:v>
      </x:c>
      <x:c r="B6" s="2" t="s">
        <x:v>116</x:v>
      </x:c>
      <x:c r="C6" s="2" t="s">
        <x:v>117</x:v>
      </x:c>
      <x:c r="D6" s="2" t="s">
        <x:v>118</x:v>
      </x:c>
      <x:c r="E6" s="2" t="s">
        <x:v>119</x:v>
      </x:c>
    </x:row>
    <x:row r="7" ht="28.5">
      <x:c r="A7" s="2" t="s">
        <x:v>120</x:v>
      </x:c>
      <x:c r="B7" s="2" t="s">
        <x:v>121</x:v>
      </x:c>
      <x:c r="C7" s="2" t="s">
        <x:v>122</x:v>
      </x:c>
      <x:c r="D7" s="2" t="s">
        <x:v>123</x:v>
      </x:c>
      <x:c r="E7" s="2" t="s">
        <x:v>124</x:v>
      </x:c>
    </x:row>
  </x:sheetData>
  <x:pageMargins left="0.7" right="0.7" top="0.75" bottom="0.75" header="0.3" footer="0.3"/>
  <x:tableParts count="1">
    <x:tablePart xmlns:r="http://schemas.openxmlformats.org/officeDocument/2006/relationships" r:id="Rbe3cd1fdffde42b8"/>
  </x:tableParts>
</x:worksheet>
</file>

<file path=xl/worksheets/sheet5.xml><?xml version="1.0" encoding="utf-8"?>
<x:worksheet xmlns:x="http://schemas.openxmlformats.org/spreadsheetml/2006/main">
  <x:sheetFormatPr defaultRowHeight="14.25"/>
  <x:cols>
    <x:col min="1" max="5" width="22" customWidth="1"/>
    <x:col min="6" max="6" width="38" customWidth="1"/>
  </x:cols>
  <x:sheetData>
    <x:row r="1" ht="30">
      <x:c r="A1" s="3" t="s">
        <x:v>125</x:v>
      </x:c>
      <x:c r="B1" s="3" t="s">
        <x:v>126</x:v>
      </x:c>
      <x:c r="C1" s="3" t="s">
        <x:v>92</x:v>
      </x:c>
      <x:c r="D1" s="3" t="s">
        <x:v>127</x:v>
      </x:c>
      <x:c r="E1" s="3" t="s">
        <x:v>128</x:v>
      </x:c>
      <x:c r="F1" s="3" t="s">
        <x:v>129</x:v>
      </x:c>
    </x:row>
    <x:row r="2">
      <x:c r="A2" s="2" t="s">
        <x:v>130</x:v>
      </x:c>
      <x:c r="B2" s="2" t="s">
        <x:v>97</x:v>
      </x:c>
      <x:c r="C2" s="2" t="s">
        <x:v>97</x:v>
      </x:c>
      <x:c r="D2" s="2" t="s">
        <x:v>131</x:v>
      </x:c>
      <x:c r="E2" s="2" t="s">
        <x:v>98</x:v>
      </x:c>
      <x:c r="F2" s="2" t="s">
        <x:v>132</x:v>
      </x:c>
    </x:row>
    <x:row r="3">
      <x:c r="A3" s="2" t="s">
        <x:v>133</x:v>
      </x:c>
      <x:c r="B3" s="2" t="s">
        <x:v>134</x:v>
      </x:c>
      <x:c r="C3" s="2" t="s">
        <x:v>102</x:v>
      </x:c>
      <x:c r="D3" s="2" t="s">
        <x:v>131</x:v>
      </x:c>
      <x:c r="E3" s="2" t="s">
        <x:v>103</x:v>
      </x:c>
      <x:c r="F3" s="2" t="s">
        <x:v>135</x:v>
      </x:c>
    </x:row>
    <x:row r="4">
      <x:c r="A4" s="2" t="s">
        <x:v>136</x:v>
      </x:c>
      <x:c r="B4" s="2" t="s">
        <x:v>137</x:v>
      </x:c>
      <x:c r="C4" s="2" t="s">
        <x:v>110</x:v>
      </x:c>
      <x:c r="D4" s="2" t="s">
        <x:v>138</x:v>
      </x:c>
      <x:c r="E4" s="2" t="s">
        <x:v>111</x:v>
      </x:c>
      <x:c r="F4" s="2" t="s">
        <x:v>139</x:v>
      </x:c>
    </x:row>
    <x:row r="5">
      <x:c r="A5" s="2" t="s">
        <x:v>140</x:v>
      </x:c>
      <x:c r="B5" s="2" t="s">
        <x:v>141</x:v>
      </x:c>
      <x:c r="C5" s="2" t="s">
        <x:v>110</x:v>
      </x:c>
      <x:c r="D5" s="2" t="s">
        <x:v>138</x:v>
      </x:c>
      <x:c r="E5" s="2" t="s">
        <x:v>111</x:v>
      </x:c>
      <x:c r="F5" s="2" t="s">
        <x:v>142</x:v>
      </x:c>
    </x:row>
    <x:row r="6">
      <x:c r="A6" s="2" t="s">
        <x:v>143</x:v>
      </x:c>
      <x:c r="B6" s="2" t="s">
        <x:v>144</x:v>
      </x:c>
      <x:c r="C6" s="2" t="s">
        <x:v>107</x:v>
      </x:c>
      <x:c r="D6" s="2" t="s">
        <x:v>131</x:v>
      </x:c>
      <x:c r="E6" s="2" t="s">
        <x:v>103</x:v>
      </x:c>
      <x:c r="F6" s="2" t="s">
        <x:v>145</x:v>
      </x:c>
    </x:row>
    <x:row r="7">
      <x:c r="A7" s="2" t="s">
        <x:v>146</x:v>
      </x:c>
      <x:c r="B7" s="2" t="s">
        <x:v>147</x:v>
      </x:c>
      <x:c r="C7" s="2" t="s">
        <x:v>110</x:v>
      </x:c>
      <x:c r="D7" s="2" t="s">
        <x:v>138</x:v>
      </x:c>
      <x:c r="E7" s="2" t="s">
        <x:v>111</x:v>
      </x:c>
      <x:c r="F7" s="2" t="s">
        <x:v>148</x:v>
      </x:c>
    </x:row>
    <x:row r="8" ht="28.5">
      <x:c r="A8" s="2" t="s">
        <x:v>149</x:v>
      </x:c>
      <x:c r="B8" s="2" t="s">
        <x:v>115</x:v>
      </x:c>
      <x:c r="C8" s="2" t="s">
        <x:v>115</x:v>
      </x:c>
      <x:c r="D8" s="2" t="s">
        <x:v>138</x:v>
      </x:c>
      <x:c r="E8" s="2" t="s">
        <x:v>116</x:v>
      </x:c>
      <x:c r="F8" s="2" t="s">
        <x:v>150</x:v>
      </x:c>
    </x:row>
  </x:sheetData>
  <x:dataValidations count="3">
    <x:dataValidation type="list" sqref="C2:C200">
      <x:formula1>"Sales,Operations/Project,Engineering,Support,Management"</x:formula1>
    </x:dataValidation>
    <x:dataValidation type="list" sqref="D2:D200">
      <x:formula1>"Y,N"</x:formula1>
    </x:dataValidation>
    <x:dataValidation type="list" sqref="E2:E200">
      <x:formula1>",Revenue Generator,Revenue Enabler,Support Function,Governance / Management,Unmapped"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4dbc1198634466e"/>
  </x:tableParts>
</x:worksheet>
</file>

<file path=xl/worksheets/sheet6.xml><?xml version="1.0" encoding="utf-8"?>
<x:worksheet xmlns:x="http://schemas.openxmlformats.org/spreadsheetml/2006/main">
  <x:sheetFormatPr defaultRowHeight="14.25"/>
  <x:cols>
    <x:col min="1" max="1" width="20" customWidth="1"/>
    <x:col min="2" max="2" width="26" customWidth="1"/>
    <x:col min="3" max="3" width="20" customWidth="1"/>
    <x:col min="4" max="4" width="26" customWidth="1"/>
    <x:col min="5" max="9" width="20" customWidth="1"/>
  </x:cols>
  <x:sheetData>
    <x:row r="1" ht="15">
      <x:c r="A1" s="3" t="s">
        <x:v>151</x:v>
      </x:c>
      <x:c r="B1" s="3" t="s">
        <x:v>152</x:v>
      </x:c>
      <x:c r="C1" s="3" t="s">
        <x:v>125</x:v>
      </x:c>
      <x:c r="D1" s="3" t="s">
        <x:v>153</x:v>
      </x:c>
      <x:c r="E1" s="3" t="s">
        <x:v>154</x:v>
      </x:c>
      <x:c r="F1" s="5" t="s">
        <x:v>155</x:v>
      </x:c>
      <x:c r="G1" s="5" t="s">
        <x:v>156</x:v>
      </x:c>
      <x:c r="H1" s="3" t="s">
        <x:v>157</x:v>
      </x:c>
      <x:c r="I1" s="3" t="s">
        <x:v>129</x:v>
      </x:c>
    </x:row>
    <x:row r="2">
      <x:c r="A2" s="2" t="s">
        <x:v>158</x:v>
      </x:c>
      <x:c r="B2" s="2" t="s">
        <x:v>159</x:v>
      </x:c>
      <x:c r="C2" s="2" t="s">
        <x:v>130</x:v>
      </x:c>
      <x:c r="D2" s="2" t="s">
        <x:v>160</x:v>
      </x:c>
      <x:c r="E2" s="2" t="s">
        <x:v>161</x:v>
      </x:c>
      <x:c r="F2" s="2" t="s">
        <x:v>162</x:v>
      </x:c>
      <x:c r="G2" s="2"/>
      <x:c r="H2" s="2" t="s">
        <x:v>131</x:v>
      </x:c>
      <x:c r="I2" s="2" t="s">
        <x:v>163</x:v>
      </x:c>
    </x:row>
    <x:row r="3">
      <x:c r="A3" s="2" t="s">
        <x:v>164</x:v>
      </x:c>
      <x:c r="B3" s="2" t="s">
        <x:v>165</x:v>
      </x:c>
      <x:c r="C3" s="2" t="s">
        <x:v>143</x:v>
      </x:c>
      <x:c r="D3" s="2" t="s">
        <x:v>166</x:v>
      </x:c>
      <x:c r="E3" s="2" t="s">
        <x:v>161</x:v>
      </x:c>
      <x:c r="F3" s="2" t="s">
        <x:v>162</x:v>
      </x:c>
      <x:c r="G3" s="2"/>
      <x:c r="H3" s="2" t="s">
        <x:v>131</x:v>
      </x:c>
      <x:c r="I3" s="2" t="s">
        <x:v>163</x:v>
      </x:c>
    </x:row>
    <x:row r="4">
      <x:c r="A4" s="2" t="s">
        <x:v>167</x:v>
      </x:c>
      <x:c r="B4" s="2" t="s">
        <x:v>168</x:v>
      </x:c>
      <x:c r="C4" s="2" t="s">
        <x:v>133</x:v>
      </x:c>
      <x:c r="D4" s="2" t="s">
        <x:v>169</x:v>
      </x:c>
      <x:c r="E4" s="2" t="s">
        <x:v>170</x:v>
      </x:c>
      <x:c r="F4" s="2" t="s">
        <x:v>171</x:v>
      </x:c>
      <x:c r="G4" s="2"/>
      <x:c r="H4" s="2" t="s">
        <x:v>138</x:v>
      </x:c>
      <x:c r="I4" s="2" t="s">
        <x:v>163</x:v>
      </x:c>
    </x:row>
  </x:sheetData>
  <x:dataValidations count="2">
    <x:dataValidation type="list" sqref="E2:E500">
      <x:formula1>"Permanent,Contract,Freelance,Outsource,Intern"</x:formula1>
    </x:dataValidation>
    <x:dataValidation type="list" sqref="H2:H500">
      <x:formula1>"Y,N"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a987b67f5eb4dfe"/>
  </x:tableParts>
</x:worksheet>
</file>

<file path=xl/worksheets/sheet7.xml><?xml version="1.0" encoding="utf-8"?>
<x:worksheet xmlns:x="http://schemas.openxmlformats.org/spreadsheetml/2006/main">
  <x:sheetFormatPr defaultRowHeight="14.25"/>
  <x:cols>
    <x:col min="1" max="6" width="22" customWidth="1"/>
    <x:col min="7" max="7" width="34" customWidth="1"/>
  </x:cols>
  <x:sheetData>
    <x:row r="1" ht="15">
      <x:c r="A1" s="10" t="s">
        <x:v>172</x:v>
      </x:c>
      <x:c r="B1" s="10" t="s">
        <x:v>173</x:v>
      </x:c>
      <x:c r="C1" s="11" t="s">
        <x:v>174</x:v>
      </x:c>
      <x:c r="D1" s="11" t="s">
        <x:v>175</x:v>
      </x:c>
      <x:c r="E1" s="11" t="s">
        <x:v>176</x:v>
      </x:c>
      <x:c r="F1" s="12" t="s">
        <x:v>177</x:v>
      </x:c>
      <x:c r="G1" s="10" t="s">
        <x:v>129</x:v>
      </x:c>
    </x:row>
    <x:row r="2">
      <x:c r="A2" s="13">
        <x:v>2021</x:v>
      </x:c>
      <x:c r="B2" s="13" t="s">
        <x:v>178</x:v>
      </x:c>
      <x:c r="C2" s="19">
        <x:v>45048932718</x:v>
      </x:c>
      <x:c r="D2" s="19">
        <x:v>23425445013</x:v>
      </x:c>
      <x:c r="E2" s="19" t="n">
        <x:f t="shared" ref="E2:E7" si="0">C2-D2</x:f>
        <x:v>21623487705</x:v>
      </x:c>
      <x:c r="F2" s="13" t="n">
        <x:f t="shared" ref="F2:F7" si="1">IF(C2&gt;0,E2/C2,"")</x:f>
        <x:v>0.4800000000079913</x:v>
      </x:c>
      <x:c r="G2" s="13" t="s">
        <x:v>179</x:v>
      </x:c>
    </x:row>
    <x:row r="3">
      <x:c r="A3" s="13">
        <x:v>2022</x:v>
      </x:c>
      <x:c r="B3" s="13" t="s">
        <x:v>178</x:v>
      </x:c>
      <x:c r="C3" s="19">
        <x:v>51100000000</x:v>
      </x:c>
      <x:c r="D3" s="19">
        <x:v>27000000000</x:v>
      </x:c>
      <x:c r="E3" s="19">
        <x:f t="shared" si="0"/>
        <x:v>24100000000</x:v>
      </x:c>
      <x:c r="F3" s="13">
        <x:f t="shared" si="1"/>
        <x:v>0.47162426614481406</x:v>
      </x:c>
      <x:c r="G3" s="13" t="s">
        <x:v>179</x:v>
      </x:c>
    </x:row>
    <x:row r="4">
      <x:c r="A4" s="13">
        <x:v>2023</x:v>
      </x:c>
      <x:c r="B4" s="13" t="s">
        <x:v>178</x:v>
      </x:c>
      <x:c r="C4" s="19">
        <x:v>58750000000</x:v>
      </x:c>
      <x:c r="D4" s="19">
        <x:v>32500000000</x:v>
      </x:c>
      <x:c r="E4" s="19">
        <x:f t="shared" si="0"/>
        <x:v>26250000000</x:v>
      </x:c>
      <x:c r="F4" s="13">
        <x:f t="shared" si="1"/>
        <x:v>0.44680851063829785</x:v>
      </x:c>
      <x:c r="G4" s="13" t="s">
        <x:v>179</x:v>
      </x:c>
    </x:row>
    <x:row r="5">
      <x:c r="A5" s="13">
        <x:v>2024</x:v>
      </x:c>
      <x:c r="B5" s="13" t="s">
        <x:v>178</x:v>
      </x:c>
      <x:c r="C5" s="19">
        <x:v>62700000000</x:v>
      </x:c>
      <x:c r="D5" s="19">
        <x:v>35000000000</x:v>
      </x:c>
      <x:c r="E5" s="19">
        <x:f t="shared" si="0"/>
        <x:v>27700000000</x:v>
      </x:c>
      <x:c r="F5" s="13">
        <x:f t="shared" si="1"/>
        <x:v>0.44178628389154706</x:v>
      </x:c>
      <x:c r="G5" s="13" t="s">
        <x:v>179</x:v>
      </x:c>
    </x:row>
    <x:row r="6">
      <x:c r="A6" s="13">
        <x:v>2025</x:v>
      </x:c>
      <x:c r="B6" s="13" t="s">
        <x:v>178</x:v>
      </x:c>
      <x:c r="C6" s="19">
        <x:v>89705623736</x:v>
      </x:c>
      <x:c r="D6" s="19">
        <x:v>67368593009</x:v>
      </x:c>
      <x:c r="E6" s="19">
        <x:f t="shared" si="0"/>
        <x:v>22337030727</x:v>
      </x:c>
      <x:c r="F6" s="13">
        <x:f t="shared" si="1"/>
        <x:v>0.24900368334472511</x:v>
      </x:c>
      <x:c r="G6" s="13" t="s">
        <x:v>179</x:v>
      </x:c>
    </x:row>
    <x:row r="7">
      <x:c r="A7" s="13">
        <x:v>2026</x:v>
      </x:c>
      <x:c r="B7" s="13" t="s">
        <x:v>178</x:v>
      </x:c>
      <x:c r="C7" s="19">
        <x:v>20000000000</x:v>
      </x:c>
      <x:c r="D7" s="20">
        <x:v>17000000000</x:v>
      </x:c>
      <x:c r="E7" s="19">
        <x:f t="shared" si="0"/>
        <x:v>3000000000</x:v>
      </x:c>
      <x:c r="F7" s="13">
        <x:f t="shared" si="1"/>
        <x:v>0.15</x:v>
      </x:c>
      <x:c r="G7" s="13" t="s">
        <x:v>180</x:v>
      </x:c>
    </x:row>
    <x:row r="13">
      <x:c r="D13" s="20"/>
    </x:row>
  </x:sheetData>
  <x:pageMargins left="0.7" right="0.7" top="0.75" bottom="0.75" header="0.3" footer="0.3"/>
  <x:tableParts count="1">
    <x:tablePart xmlns:r="http://schemas.openxmlformats.org/officeDocument/2006/relationships" r:id="R4479213e463843d6"/>
  </x:tableParts>
</x:worksheet>
</file>

<file path=xl/worksheets/sheet8.xml><?xml version="1.0" encoding="utf-8"?>
<x:worksheet xmlns:x="http://schemas.openxmlformats.org/spreadsheetml/2006/main">
  <x:sheetFormatPr defaultRowHeight="14.25"/>
  <x:cols>
    <x:col min="1" max="4" width="22" customWidth="1"/>
    <x:col min="5" max="6" width="32" customWidth="1"/>
  </x:cols>
  <x:sheetData>
    <x:row r="1" ht="15">
      <x:c r="A1" s="10" t="s">
        <x:v>172</x:v>
      </x:c>
      <x:c r="B1" s="10" t="s">
        <x:v>125</x:v>
      </x:c>
      <x:c r="C1" s="11" t="s">
        <x:v>174</x:v>
      </x:c>
      <x:c r="D1" s="10" t="s">
        <x:v>181</x:v>
      </x:c>
      <x:c r="E1" s="10" t="s">
        <x:v>182</x:v>
      </x:c>
      <x:c r="F1" s="10" t="s">
        <x:v>129</x:v>
      </x:c>
    </x:row>
    <x:row r="2">
      <x:c r="A2" s="13">
        <x:v>2021</x:v>
      </x:c>
      <x:c r="B2" s="13" t="s">
        <x:v>130</x:v>
      </x:c>
      <x:c r="C2" s="13">
        <x:v>18019573087</x:v>
      </x:c>
      <x:c r="D2" s="13" t="s">
        <x:v>183</x:v>
      </x:c>
      <x:c r="E2" s="13" t="s">
        <x:v>184</x:v>
      </x:c>
      <x:c r="F2" s="13" t="s">
        <x:v>185</x:v>
      </x:c>
    </x:row>
    <x:row r="3">
      <x:c r="A3" s="13">
        <x:v>2021</x:v>
      </x:c>
      <x:c r="B3" s="13" t="s">
        <x:v>133</x:v>
      </x:c>
      <x:c r="C3" s="13">
        <x:v>15767126451</x:v>
      </x:c>
      <x:c r="D3" s="13" t="s">
        <x:v>183</x:v>
      </x:c>
      <x:c r="E3" s="13" t="s">
        <x:v>186</x:v>
      </x:c>
      <x:c r="F3" s="13" t="s">
        <x:v>185</x:v>
      </x:c>
    </x:row>
    <x:row r="4">
      <x:c r="A4" s="13">
        <x:v>2021</x:v>
      </x:c>
      <x:c r="B4" s="13" t="s">
        <x:v>143</x:v>
      </x:c>
      <x:c r="C4" s="13">
        <x:v>11262233180</x:v>
      </x:c>
      <x:c r="D4" s="13" t="s">
        <x:v>183</x:v>
      </x:c>
      <x:c r="E4" s="13" t="s">
        <x:v>187</x:v>
      </x:c>
      <x:c r="F4" s="13" t="s">
        <x:v>185</x:v>
      </x:c>
    </x:row>
    <x:row r="5">
      <x:c r="A5" s="13">
        <x:v>2022</x:v>
      </x:c>
      <x:c r="B5" s="13" t="s">
        <x:v>130</x:v>
      </x:c>
      <x:c r="C5" s="13">
        <x:v>20440000000</x:v>
      </x:c>
      <x:c r="D5" s="13" t="s">
        <x:v>183</x:v>
      </x:c>
      <x:c r="E5" s="13" t="s">
        <x:v>184</x:v>
      </x:c>
      <x:c r="F5" s="13" t="s">
        <x:v>185</x:v>
      </x:c>
    </x:row>
    <x:row r="6">
      <x:c r="A6" s="13">
        <x:v>2022</x:v>
      </x:c>
      <x:c r="B6" s="13" t="s">
        <x:v>133</x:v>
      </x:c>
      <x:c r="C6" s="13">
        <x:v>17885000000</x:v>
      </x:c>
      <x:c r="D6" s="13" t="s">
        <x:v>183</x:v>
      </x:c>
      <x:c r="E6" s="13" t="s">
        <x:v>186</x:v>
      </x:c>
      <x:c r="F6" s="13" t="s">
        <x:v>185</x:v>
      </x:c>
    </x:row>
    <x:row r="7">
      <x:c r="A7" s="13">
        <x:v>2022</x:v>
      </x:c>
      <x:c r="B7" s="13" t="s">
        <x:v>143</x:v>
      </x:c>
      <x:c r="C7" s="13">
        <x:v>12775000000</x:v>
      </x:c>
      <x:c r="D7" s="13" t="s">
        <x:v>183</x:v>
      </x:c>
      <x:c r="E7" s="13" t="s">
        <x:v>187</x:v>
      </x:c>
      <x:c r="F7" s="13" t="s">
        <x:v>185</x:v>
      </x:c>
    </x:row>
    <x:row r="8">
      <x:c r="A8" s="13">
        <x:v>2023</x:v>
      </x:c>
      <x:c r="B8" s="13" t="s">
        <x:v>130</x:v>
      </x:c>
      <x:c r="C8" s="13">
        <x:v>23500000000</x:v>
      </x:c>
      <x:c r="D8" s="13" t="s">
        <x:v>183</x:v>
      </x:c>
      <x:c r="E8" s="13" t="s">
        <x:v>184</x:v>
      </x:c>
      <x:c r="F8" s="13" t="s">
        <x:v>185</x:v>
      </x:c>
    </x:row>
    <x:row r="9">
      <x:c r="A9" s="13">
        <x:v>2023</x:v>
      </x:c>
      <x:c r="B9" s="13" t="s">
        <x:v>133</x:v>
      </x:c>
      <x:c r="C9" s="13">
        <x:v>20562500000</x:v>
      </x:c>
      <x:c r="D9" s="13" t="s">
        <x:v>183</x:v>
      </x:c>
      <x:c r="E9" s="13" t="s">
        <x:v>186</x:v>
      </x:c>
      <x:c r="F9" s="13" t="s">
        <x:v>185</x:v>
      </x:c>
    </x:row>
    <x:row r="10">
      <x:c r="A10" s="13">
        <x:v>2023</x:v>
      </x:c>
      <x:c r="B10" s="13" t="s">
        <x:v>143</x:v>
      </x:c>
      <x:c r="C10" s="13">
        <x:v>14687500000</x:v>
      </x:c>
      <x:c r="D10" s="13" t="s">
        <x:v>183</x:v>
      </x:c>
      <x:c r="E10" s="13" t="s">
        <x:v>187</x:v>
      </x:c>
      <x:c r="F10" s="13" t="s">
        <x:v>185</x:v>
      </x:c>
    </x:row>
    <x:row r="11">
      <x:c r="A11" s="13">
        <x:v>2024</x:v>
      </x:c>
      <x:c r="B11" s="13" t="s">
        <x:v>130</x:v>
      </x:c>
      <x:c r="C11" s="13">
        <x:v>25080000000</x:v>
      </x:c>
      <x:c r="D11" s="13" t="s">
        <x:v>183</x:v>
      </x:c>
      <x:c r="E11" s="13" t="s">
        <x:v>184</x:v>
      </x:c>
      <x:c r="F11" s="13" t="s">
        <x:v>185</x:v>
      </x:c>
    </x:row>
    <x:row r="12">
      <x:c r="A12" s="13">
        <x:v>2024</x:v>
      </x:c>
      <x:c r="B12" s="13" t="s">
        <x:v>133</x:v>
      </x:c>
      <x:c r="C12" s="13">
        <x:v>21945000000</x:v>
      </x:c>
      <x:c r="D12" s="13" t="s">
        <x:v>183</x:v>
      </x:c>
      <x:c r="E12" s="13" t="s">
        <x:v>186</x:v>
      </x:c>
      <x:c r="F12" s="13" t="s">
        <x:v>185</x:v>
      </x:c>
    </x:row>
    <x:row r="13">
      <x:c r="A13" s="13">
        <x:v>2024</x:v>
      </x:c>
      <x:c r="B13" s="13" t="s">
        <x:v>143</x:v>
      </x:c>
      <x:c r="C13" s="13">
        <x:v>15675000000</x:v>
      </x:c>
      <x:c r="D13" s="13" t="s">
        <x:v>183</x:v>
      </x:c>
      <x:c r="E13" s="13" t="s">
        <x:v>187</x:v>
      </x:c>
      <x:c r="F13" s="13" t="s">
        <x:v>185</x:v>
      </x:c>
    </x:row>
    <x:row r="14">
      <x:c r="A14" s="13">
        <x:v>2025</x:v>
      </x:c>
      <x:c r="B14" s="13" t="s">
        <x:v>130</x:v>
      </x:c>
      <x:c r="C14" s="13">
        <x:v>35882249494</x:v>
      </x:c>
      <x:c r="D14" s="13" t="s">
        <x:v>183</x:v>
      </x:c>
      <x:c r="E14" s="13" t="s">
        <x:v>184</x:v>
      </x:c>
      <x:c r="F14" s="13" t="s">
        <x:v>185</x:v>
      </x:c>
    </x:row>
    <x:row r="15">
      <x:c r="A15" s="13">
        <x:v>2025</x:v>
      </x:c>
      <x:c r="B15" s="13" t="s">
        <x:v>133</x:v>
      </x:c>
      <x:c r="C15" s="13">
        <x:v>31396968308</x:v>
      </x:c>
      <x:c r="D15" s="13" t="s">
        <x:v>183</x:v>
      </x:c>
      <x:c r="E15" s="13" t="s">
        <x:v>186</x:v>
      </x:c>
      <x:c r="F15" s="13" t="s">
        <x:v>185</x:v>
      </x:c>
    </x:row>
    <x:row r="16">
      <x:c r="A16" s="13">
        <x:v>2025</x:v>
      </x:c>
      <x:c r="B16" s="13" t="s">
        <x:v>143</x:v>
      </x:c>
      <x:c r="C16" s="13">
        <x:v>22426405934</x:v>
      </x:c>
      <x:c r="D16" s="13" t="s">
        <x:v>183</x:v>
      </x:c>
      <x:c r="E16" s="13" t="s">
        <x:v>187</x:v>
      </x:c>
      <x:c r="F16" s="13" t="s">
        <x:v>185</x:v>
      </x:c>
    </x:row>
    <x:row r="17">
      <x:c r="A17" s="13">
        <x:v>2026</x:v>
      </x:c>
      <x:c r="B17" s="13" t="s">
        <x:v>130</x:v>
      </x:c>
      <x:c r="C17" s="13">
        <x:v>39400000000</x:v>
      </x:c>
      <x:c r="D17" s="13" t="s">
        <x:v>183</x:v>
      </x:c>
      <x:c r="E17" s="13" t="s">
        <x:v>184</x:v>
      </x:c>
      <x:c r="F17" s="13" t="s">
        <x:v>188</x:v>
      </x:c>
    </x:row>
    <x:row r="18">
      <x:c r="A18" s="13">
        <x:v>2026</x:v>
      </x:c>
      <x:c r="B18" s="13" t="s">
        <x:v>133</x:v>
      </x:c>
      <x:c r="C18" s="13">
        <x:v>34475000000</x:v>
      </x:c>
      <x:c r="D18" s="13" t="s">
        <x:v>183</x:v>
      </x:c>
      <x:c r="E18" s="13" t="s">
        <x:v>186</x:v>
      </x:c>
      <x:c r="F18" s="13" t="s">
        <x:v>188</x:v>
      </x:c>
    </x:row>
    <x:row r="19">
      <x:c r="A19" s="13">
        <x:v>2026</x:v>
      </x:c>
      <x:c r="B19" s="13" t="s">
        <x:v>143</x:v>
      </x:c>
      <x:c r="C19" s="13">
        <x:v>24625000000</x:v>
      </x:c>
      <x:c r="D19" s="13" t="s">
        <x:v>183</x:v>
      </x:c>
      <x:c r="E19" s="13" t="s">
        <x:v>187</x:v>
      </x:c>
      <x:c r="F19" s="13" t="s">
        <x:v>188</x:v>
      </x:c>
    </x:row>
  </x:sheetData>
  <x:dataValidations count="1">
    <x:dataValidation type="list" sqref="D2:D500">
      <x:formula1>"Direct,Allocated"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43710c78e1046c2"/>
  </x:tableParts>
</x:worksheet>
</file>

<file path=xl/worksheets/sheet9.xml><?xml version="1.0" encoding="utf-8"?>
<x:worksheet xmlns:x="http://schemas.openxmlformats.org/spreadsheetml/2006/main">
  <x:sheetFormatPr defaultRowHeight="14.25"/>
  <x:cols>
    <x:col min="1" max="6" width="18" customWidth="1"/>
    <x:col min="7" max="7" width="30" customWidth="1"/>
  </x:cols>
  <x:sheetData>
    <x:row r="1" ht="15">
      <x:c r="A1" s="10" t="s">
        <x:v>172</x:v>
      </x:c>
      <x:c r="B1" s="10" t="s">
        <x:v>125</x:v>
      </x:c>
      <x:c r="C1" s="10" t="s">
        <x:v>189</x:v>
      </x:c>
      <x:c r="D1" s="10" t="s">
        <x:v>190</x:v>
      </x:c>
      <x:c r="E1" s="10" t="s">
        <x:v>191</x:v>
      </x:c>
      <x:c r="F1" s="10" t="s">
        <x:v>192</x:v>
      </x:c>
      <x:c r="G1" s="10" t="s">
        <x:v>129</x:v>
      </x:c>
    </x:row>
    <x:row r="2">
      <x:c r="A2" s="13">
        <x:v>2021</x:v>
      </x:c>
      <x:c r="B2" s="13" t="s">
        <x:v>130</x:v>
      </x:c>
      <x:c r="C2" s="13">
        <x:v>8</x:v>
      </x:c>
      <x:c r="D2" s="13">
        <x:v>8</x:v>
      </x:c>
      <x:c r="E2" s="13">
        <x:v>0</x:v>
      </x:c>
      <x:c r="F2" s="13">
        <x:v>0</x:v>
      </x:c>
      <x:c r="G2" s="13" t="s">
        <x:v>185</x:v>
      </x:c>
    </x:row>
    <x:row r="3">
      <x:c r="A3" s="13">
        <x:v>2021</x:v>
      </x:c>
      <x:c r="B3" s="13" t="s">
        <x:v>133</x:v>
      </x:c>
      <x:c r="C3" s="13">
        <x:v>25</x:v>
      </x:c>
      <x:c r="D3" s="13">
        <x:v>25</x:v>
      </x:c>
      <x:c r="E3" s="13">
        <x:v>0</x:v>
      </x:c>
      <x:c r="F3" s="13">
        <x:v>0</x:v>
      </x:c>
      <x:c r="G3" s="13" t="s">
        <x:v>185</x:v>
      </x:c>
    </x:row>
    <x:row r="4">
      <x:c r="A4" s="13">
        <x:v>2021</x:v>
      </x:c>
      <x:c r="B4" s="13" t="s">
        <x:v>136</x:v>
      </x:c>
      <x:c r="C4" s="13">
        <x:v>7</x:v>
      </x:c>
      <x:c r="D4" s="13">
        <x:v>7</x:v>
      </x:c>
      <x:c r="E4" s="13">
        <x:v>0</x:v>
      </x:c>
      <x:c r="F4" s="13">
        <x:v>0</x:v>
      </x:c>
      <x:c r="G4" s="13" t="s">
        <x:v>185</x:v>
      </x:c>
    </x:row>
    <x:row r="5">
      <x:c r="A5" s="13">
        <x:v>2021</x:v>
      </x:c>
      <x:c r="B5" s="13" t="s">
        <x:v>140</x:v>
      </x:c>
      <x:c r="C5" s="13">
        <x:v>5</x:v>
      </x:c>
      <x:c r="D5" s="13">
        <x:v>5</x:v>
      </x:c>
      <x:c r="E5" s="13">
        <x:v>0</x:v>
      </x:c>
      <x:c r="F5" s="13">
        <x:v>0</x:v>
      </x:c>
      <x:c r="G5" s="13" t="s">
        <x:v>185</x:v>
      </x:c>
    </x:row>
    <x:row r="6">
      <x:c r="A6" s="13">
        <x:v>2021</x:v>
      </x:c>
      <x:c r="B6" s="13" t="s">
        <x:v>143</x:v>
      </x:c>
      <x:c r="C6" s="13">
        <x:v>14</x:v>
      </x:c>
      <x:c r="D6" s="13">
        <x:v>14</x:v>
      </x:c>
      <x:c r="E6" s="13">
        <x:v>0</x:v>
      </x:c>
      <x:c r="F6" s="13">
        <x:v>0</x:v>
      </x:c>
      <x:c r="G6" s="13" t="s">
        <x:v>185</x:v>
      </x:c>
    </x:row>
    <x:row r="7">
      <x:c r="A7" s="13">
        <x:v>2021</x:v>
      </x:c>
      <x:c r="B7" s="13" t="s">
        <x:v>146</x:v>
      </x:c>
      <x:c r="C7" s="13">
        <x:v>5</x:v>
      </x:c>
      <x:c r="D7" s="13">
        <x:v>5</x:v>
      </x:c>
      <x:c r="E7" s="13">
        <x:v>0</x:v>
      </x:c>
      <x:c r="F7" s="13">
        <x:v>0</x:v>
      </x:c>
      <x:c r="G7" s="13" t="s">
        <x:v>185</x:v>
      </x:c>
    </x:row>
    <x:row r="8">
      <x:c r="A8" s="13">
        <x:v>2022</x:v>
      </x:c>
      <x:c r="B8" s="13" t="s">
        <x:v>130</x:v>
      </x:c>
      <x:c r="C8" s="13">
        <x:v>8</x:v>
      </x:c>
      <x:c r="D8" s="13">
        <x:v>8</x:v>
      </x:c>
      <x:c r="E8" s="13">
        <x:v>0</x:v>
      </x:c>
      <x:c r="F8" s="13">
        <x:v>0</x:v>
      </x:c>
      <x:c r="G8" s="13" t="s">
        <x:v>185</x:v>
      </x:c>
    </x:row>
    <x:row r="9">
      <x:c r="A9" s="13">
        <x:v>2022</x:v>
      </x:c>
      <x:c r="B9" s="13" t="s">
        <x:v>133</x:v>
      </x:c>
      <x:c r="C9" s="13">
        <x:v>27</x:v>
      </x:c>
      <x:c r="D9" s="13">
        <x:v>27</x:v>
      </x:c>
      <x:c r="E9" s="13">
        <x:v>0</x:v>
      </x:c>
      <x:c r="F9" s="13">
        <x:v>0</x:v>
      </x:c>
      <x:c r="G9" s="13" t="s">
        <x:v>185</x:v>
      </x:c>
    </x:row>
    <x:row r="10">
      <x:c r="A10" s="13">
        <x:v>2022</x:v>
      </x:c>
      <x:c r="B10" s="13" t="s">
        <x:v>136</x:v>
      </x:c>
      <x:c r="C10" s="13">
        <x:v>7</x:v>
      </x:c>
      <x:c r="D10" s="13">
        <x:v>7</x:v>
      </x:c>
      <x:c r="E10" s="13">
        <x:v>0</x:v>
      </x:c>
      <x:c r="F10" s="13">
        <x:v>0</x:v>
      </x:c>
      <x:c r="G10" s="13" t="s">
        <x:v>185</x:v>
      </x:c>
    </x:row>
    <x:row r="11">
      <x:c r="A11" s="13">
        <x:v>2022</x:v>
      </x:c>
      <x:c r="B11" s="13" t="s">
        <x:v>140</x:v>
      </x:c>
      <x:c r="C11" s="13">
        <x:v>5</x:v>
      </x:c>
      <x:c r="D11" s="13">
        <x:v>5</x:v>
      </x:c>
      <x:c r="E11" s="13">
        <x:v>0</x:v>
      </x:c>
      <x:c r="F11" s="13">
        <x:v>0</x:v>
      </x:c>
      <x:c r="G11" s="13" t="s">
        <x:v>185</x:v>
      </x:c>
    </x:row>
    <x:row r="12">
      <x:c r="A12" s="13">
        <x:v>2022</x:v>
      </x:c>
      <x:c r="B12" s="13" t="s">
        <x:v>143</x:v>
      </x:c>
      <x:c r="C12" s="13">
        <x:v>14</x:v>
      </x:c>
      <x:c r="D12" s="13">
        <x:v>14</x:v>
      </x:c>
      <x:c r="E12" s="13">
        <x:v>0</x:v>
      </x:c>
      <x:c r="F12" s="13">
        <x:v>0</x:v>
      </x:c>
      <x:c r="G12" s="13" t="s">
        <x:v>185</x:v>
      </x:c>
    </x:row>
    <x:row r="13">
      <x:c r="A13" s="13">
        <x:v>2022</x:v>
      </x:c>
      <x:c r="B13" s="13" t="s">
        <x:v>146</x:v>
      </x:c>
      <x:c r="C13" s="13">
        <x:v>5</x:v>
      </x:c>
      <x:c r="D13" s="13">
        <x:v>5</x:v>
      </x:c>
      <x:c r="E13" s="13">
        <x:v>0</x:v>
      </x:c>
      <x:c r="F13" s="13">
        <x:v>0</x:v>
      </x:c>
      <x:c r="G13" s="13" t="s">
        <x:v>185</x:v>
      </x:c>
    </x:row>
    <x:row r="14">
      <x:c r="A14" s="13">
        <x:v>2023</x:v>
      </x:c>
      <x:c r="B14" s="13" t="s">
        <x:v>130</x:v>
      </x:c>
      <x:c r="C14" s="13">
        <x:v>8</x:v>
      </x:c>
      <x:c r="D14" s="13">
        <x:v>8</x:v>
      </x:c>
      <x:c r="E14" s="13">
        <x:v>0</x:v>
      </x:c>
      <x:c r="F14" s="13">
        <x:v>0</x:v>
      </x:c>
      <x:c r="G14" s="13" t="s">
        <x:v>185</x:v>
      </x:c>
    </x:row>
    <x:row r="15">
      <x:c r="A15" s="13">
        <x:v>2023</x:v>
      </x:c>
      <x:c r="B15" s="13" t="s">
        <x:v>133</x:v>
      </x:c>
      <x:c r="C15" s="13">
        <x:v>30</x:v>
      </x:c>
      <x:c r="D15" s="13">
        <x:v>30</x:v>
      </x:c>
      <x:c r="E15" s="13">
        <x:v>0</x:v>
      </x:c>
      <x:c r="F15" s="13">
        <x:v>0</x:v>
      </x:c>
      <x:c r="G15" s="13" t="s">
        <x:v>185</x:v>
      </x:c>
    </x:row>
    <x:row r="16">
      <x:c r="A16" s="13">
        <x:v>2023</x:v>
      </x:c>
      <x:c r="B16" s="13" t="s">
        <x:v>136</x:v>
      </x:c>
      <x:c r="C16" s="13">
        <x:v>8</x:v>
      </x:c>
      <x:c r="D16" s="13">
        <x:v>8</x:v>
      </x:c>
      <x:c r="E16" s="13">
        <x:v>0</x:v>
      </x:c>
      <x:c r="F16" s="13">
        <x:v>0</x:v>
      </x:c>
      <x:c r="G16" s="13" t="s">
        <x:v>185</x:v>
      </x:c>
    </x:row>
    <x:row r="17">
      <x:c r="A17" s="13">
        <x:v>2023</x:v>
      </x:c>
      <x:c r="B17" s="13" t="s">
        <x:v>140</x:v>
      </x:c>
      <x:c r="C17" s="13">
        <x:v>5</x:v>
      </x:c>
      <x:c r="D17" s="13">
        <x:v>5</x:v>
      </x:c>
      <x:c r="E17" s="13">
        <x:v>0</x:v>
      </x:c>
      <x:c r="F17" s="13">
        <x:v>0</x:v>
      </x:c>
      <x:c r="G17" s="13" t="s">
        <x:v>185</x:v>
      </x:c>
    </x:row>
    <x:row r="18">
      <x:c r="A18" s="13">
        <x:v>2023</x:v>
      </x:c>
      <x:c r="B18" s="13" t="s">
        <x:v>143</x:v>
      </x:c>
      <x:c r="C18" s="13">
        <x:v>15</x:v>
      </x:c>
      <x:c r="D18" s="13">
        <x:v>15</x:v>
      </x:c>
      <x:c r="E18" s="13">
        <x:v>0</x:v>
      </x:c>
      <x:c r="F18" s="13">
        <x:v>0</x:v>
      </x:c>
      <x:c r="G18" s="13" t="s">
        <x:v>185</x:v>
      </x:c>
    </x:row>
    <x:row r="19">
      <x:c r="A19" s="13">
        <x:v>2023</x:v>
      </x:c>
      <x:c r="B19" s="13" t="s">
        <x:v>146</x:v>
      </x:c>
      <x:c r="C19" s="13">
        <x:v>5</x:v>
      </x:c>
      <x:c r="D19" s="13">
        <x:v>5</x:v>
      </x:c>
      <x:c r="E19" s="13">
        <x:v>0</x:v>
      </x:c>
      <x:c r="F19" s="13">
        <x:v>0</x:v>
      </x:c>
      <x:c r="G19" s="13" t="s">
        <x:v>185</x:v>
      </x:c>
    </x:row>
    <x:row r="20">
      <x:c r="A20" s="13">
        <x:v>2024</x:v>
      </x:c>
      <x:c r="B20" s="13" t="s">
        <x:v>130</x:v>
      </x:c>
      <x:c r="C20" s="13">
        <x:v>9</x:v>
      </x:c>
      <x:c r="D20" s="13">
        <x:v>9</x:v>
      </x:c>
      <x:c r="E20" s="13">
        <x:v>0</x:v>
      </x:c>
      <x:c r="F20" s="13">
        <x:v>0</x:v>
      </x:c>
      <x:c r="G20" s="13" t="s">
        <x:v>185</x:v>
      </x:c>
    </x:row>
    <x:row r="21">
      <x:c r="A21" s="13">
        <x:v>2024</x:v>
      </x:c>
      <x:c r="B21" s="13" t="s">
        <x:v>133</x:v>
      </x:c>
      <x:c r="C21" s="13">
        <x:v>37</x:v>
      </x:c>
      <x:c r="D21" s="13">
        <x:v>37</x:v>
      </x:c>
      <x:c r="E21" s="13">
        <x:v>0</x:v>
      </x:c>
      <x:c r="F21" s="13">
        <x:v>0</x:v>
      </x:c>
      <x:c r="G21" s="13" t="s">
        <x:v>185</x:v>
      </x:c>
    </x:row>
    <x:row r="22">
      <x:c r="A22" s="13">
        <x:v>2024</x:v>
      </x:c>
      <x:c r="B22" s="13" t="s">
        <x:v>136</x:v>
      </x:c>
      <x:c r="C22" s="13">
        <x:v>13</x:v>
      </x:c>
      <x:c r="D22" s="13">
        <x:v>13</x:v>
      </x:c>
      <x:c r="E22" s="13">
        <x:v>0</x:v>
      </x:c>
      <x:c r="F22" s="13">
        <x:v>0</x:v>
      </x:c>
      <x:c r="G22" s="13" t="s">
        <x:v>185</x:v>
      </x:c>
    </x:row>
    <x:row r="23">
      <x:c r="A23" s="13">
        <x:v>2024</x:v>
      </x:c>
      <x:c r="B23" s="13" t="s">
        <x:v>140</x:v>
      </x:c>
      <x:c r="C23" s="13">
        <x:v>7</x:v>
      </x:c>
      <x:c r="D23" s="13">
        <x:v>7</x:v>
      </x:c>
      <x:c r="E23" s="13">
        <x:v>0</x:v>
      </x:c>
      <x:c r="F23" s="13">
        <x:v>0</x:v>
      </x:c>
      <x:c r="G23" s="13" t="s">
        <x:v>185</x:v>
      </x:c>
    </x:row>
    <x:row r="24">
      <x:c r="A24" s="13">
        <x:v>2024</x:v>
      </x:c>
      <x:c r="B24" s="13" t="s">
        <x:v>143</x:v>
      </x:c>
      <x:c r="C24" s="13">
        <x:v>17</x:v>
      </x:c>
      <x:c r="D24" s="13">
        <x:v>17</x:v>
      </x:c>
      <x:c r="E24" s="13">
        <x:v>0</x:v>
      </x:c>
      <x:c r="F24" s="13">
        <x:v>0</x:v>
      </x:c>
      <x:c r="G24" s="13" t="s">
        <x:v>185</x:v>
      </x:c>
    </x:row>
    <x:row r="25">
      <x:c r="A25" s="13">
        <x:v>2024</x:v>
      </x:c>
      <x:c r="B25" s="13" t="s">
        <x:v>146</x:v>
      </x:c>
      <x:c r="C25" s="13">
        <x:v>5</x:v>
      </x:c>
      <x:c r="D25" s="13">
        <x:v>5</x:v>
      </x:c>
      <x:c r="E25" s="13">
        <x:v>0</x:v>
      </x:c>
      <x:c r="F25" s="13">
        <x:v>0</x:v>
      </x:c>
      <x:c r="G25" s="13" t="s">
        <x:v>185</x:v>
      </x:c>
    </x:row>
    <x:row r="26">
      <x:c r="A26" s="13">
        <x:v>2025</x:v>
      </x:c>
      <x:c r="B26" s="13" t="s">
        <x:v>130</x:v>
      </x:c>
      <x:c r="C26" s="13">
        <x:v>9</x:v>
      </x:c>
      <x:c r="D26" s="13">
        <x:v>9</x:v>
      </x:c>
      <x:c r="E26" s="13">
        <x:v>0</x:v>
      </x:c>
      <x:c r="F26" s="13">
        <x:v>0</x:v>
      </x:c>
      <x:c r="G26" s="13" t="s">
        <x:v>185</x:v>
      </x:c>
    </x:row>
    <x:row r="27">
      <x:c r="A27" s="13">
        <x:v>2025</x:v>
      </x:c>
      <x:c r="B27" s="13" t="s">
        <x:v>133</x:v>
      </x:c>
      <x:c r="C27" s="13">
        <x:v>29</x:v>
      </x:c>
      <x:c r="D27" s="13">
        <x:v>29</x:v>
      </x:c>
      <x:c r="E27" s="13">
        <x:v>1</x:v>
      </x:c>
      <x:c r="F27" s="13">
        <x:v>0</x:v>
      </x:c>
      <x:c r="G27" s="13" t="s">
        <x:v>185</x:v>
      </x:c>
    </x:row>
    <x:row r="28">
      <x:c r="A28" s="13">
        <x:v>2025</x:v>
      </x:c>
      <x:c r="B28" s="13" t="s">
        <x:v>136</x:v>
      </x:c>
      <x:c r="C28" s="13">
        <x:v>9</x:v>
      </x:c>
      <x:c r="D28" s="13">
        <x:v>9</x:v>
      </x:c>
      <x:c r="E28" s="13">
        <x:v>0</x:v>
      </x:c>
      <x:c r="F28" s="13">
        <x:v>0</x:v>
      </x:c>
      <x:c r="G28" s="13" t="s">
        <x:v>185</x:v>
      </x:c>
    </x:row>
    <x:row r="29">
      <x:c r="A29" s="13">
        <x:v>2025</x:v>
      </x:c>
      <x:c r="B29" s="13" t="s">
        <x:v>140</x:v>
      </x:c>
      <x:c r="C29" s="13">
        <x:v>6</x:v>
      </x:c>
      <x:c r="D29" s="13">
        <x:v>6</x:v>
      </x:c>
      <x:c r="E29" s="13">
        <x:v>0</x:v>
      </x:c>
      <x:c r="F29" s="13">
        <x:v>0</x:v>
      </x:c>
      <x:c r="G29" s="13" t="s">
        <x:v>185</x:v>
      </x:c>
    </x:row>
    <x:row r="30">
      <x:c r="A30" s="13">
        <x:v>2025</x:v>
      </x:c>
      <x:c r="B30" s="13" t="s">
        <x:v>143</x:v>
      </x:c>
      <x:c r="C30" s="13">
        <x:v>9</x:v>
      </x:c>
      <x:c r="D30" s="13">
        <x:v>9</x:v>
      </x:c>
      <x:c r="E30" s="13">
        <x:v>1</x:v>
      </x:c>
      <x:c r="F30" s="13">
        <x:v>0</x:v>
      </x:c>
      <x:c r="G30" s="13" t="s">
        <x:v>185</x:v>
      </x:c>
    </x:row>
    <x:row r="31">
      <x:c r="A31" s="13">
        <x:v>2026</x:v>
      </x:c>
      <x:c r="B31" s="13" t="s">
        <x:v>130</x:v>
      </x:c>
      <x:c r="C31" s="13">
        <x:v>10</x:v>
      </x:c>
      <x:c r="D31" s="13">
        <x:v>10</x:v>
      </x:c>
      <x:c r="E31" s="13">
        <x:v>1</x:v>
      </x:c>
      <x:c r="F31" s="13">
        <x:v>0</x:v>
      </x:c>
      <x:c r="G31" s="13" t="s">
        <x:v>188</x:v>
      </x:c>
    </x:row>
    <x:row r="32">
      <x:c r="A32" s="13">
        <x:v>2026</x:v>
      </x:c>
      <x:c r="B32" s="13" t="s">
        <x:v>133</x:v>
      </x:c>
      <x:c r="C32" s="13">
        <x:v>31</x:v>
      </x:c>
      <x:c r="D32" s="13">
        <x:v>31</x:v>
      </x:c>
      <x:c r="E32" s="13">
        <x:v>2</x:v>
      </x:c>
      <x:c r="F32" s="13">
        <x:v>0</x:v>
      </x:c>
      <x:c r="G32" s="13" t="s">
        <x:v>188</x:v>
      </x:c>
    </x:row>
    <x:row r="33">
      <x:c r="A33" s="13">
        <x:v>2026</x:v>
      </x:c>
      <x:c r="B33" s="13" t="s">
        <x:v>136</x:v>
      </x:c>
      <x:c r="C33" s="13">
        <x:v>9</x:v>
      </x:c>
      <x:c r="D33" s="13">
        <x:v>9</x:v>
      </x:c>
      <x:c r="E33" s="13">
        <x:v>0</x:v>
      </x:c>
      <x:c r="F33" s="13">
        <x:v>0</x:v>
      </x:c>
      <x:c r="G33" s="13" t="s">
        <x:v>188</x:v>
      </x:c>
    </x:row>
    <x:row r="34">
      <x:c r="A34" s="13">
        <x:v>2026</x:v>
      </x:c>
      <x:c r="B34" s="13" t="s">
        <x:v>140</x:v>
      </x:c>
      <x:c r="C34" s="13">
        <x:v>6</x:v>
      </x:c>
      <x:c r="D34" s="13">
        <x:v>6</x:v>
      </x:c>
      <x:c r="E34" s="13">
        <x:v>0</x:v>
      </x:c>
      <x:c r="F34" s="13">
        <x:v>0</x:v>
      </x:c>
      <x:c r="G34" s="13" t="s">
        <x:v>188</x:v>
      </x:c>
    </x:row>
    <x:row r="35">
      <x:c r="A35" s="13">
        <x:v>2026</x:v>
      </x:c>
      <x:c r="B35" s="13" t="s">
        <x:v>143</x:v>
      </x:c>
      <x:c r="C35" s="13">
        <x:v>10</x:v>
      </x:c>
      <x:c r="D35" s="13">
        <x:v>10</x:v>
      </x:c>
      <x:c r="E35" s="13">
        <x:v>1</x:v>
      </x:c>
      <x:c r="F35" s="13">
        <x:v>0</x:v>
      </x:c>
      <x:c r="G35" s="13" t="s">
        <x:v>188</x:v>
      </x:c>
    </x:row>
    <x:row r="36">
      <x:c r="A36" s="13">
        <x:v>2026</x:v>
      </x:c>
      <x:c r="B36" s="13" t="s">
        <x:v>146</x:v>
      </x:c>
      <x:c r="C36" s="13">
        <x:v>5</x:v>
      </x:c>
      <x:c r="D36" s="13">
        <x:v>5</x:v>
      </x:c>
      <x:c r="E36" s="13">
        <x:v>0</x:v>
      </x:c>
      <x:c r="F36" s="13">
        <x:v>0</x:v>
      </x:c>
      <x:c r="G36" s="13" t="s">
        <x:v>188</x:v>
      </x:c>
    </x:row>
  </x:sheetData>
  <x:pageMargins left="0.7" right="0.7" top="0.75" bottom="0.75" header="0.3" footer="0.3"/>
  <x:tableParts count="1">
    <x:tablePart xmlns:r="http://schemas.openxmlformats.org/officeDocument/2006/relationships" r:id="Rb3b7c8db637843dc"/>
  </x:tableParts>
</x:worksheet>
</file>

<file path=xl/worksheets/sheet10.xml><?xml version="1.0" encoding="utf-8"?>
<x:worksheet xmlns:x="http://schemas.openxmlformats.org/spreadsheetml/2006/main">
  <x:sheetFormatPr defaultRowHeight="14.25"/>
  <x:cols>
    <x:col min="1" max="9" width="18" customWidth="1"/>
    <x:col min="10" max="10" width="30" customWidth="1"/>
  </x:cols>
  <x:sheetData>
    <x:row r="1" ht="30">
      <x:c r="A1" s="10" t="s">
        <x:v>172</x:v>
      </x:c>
      <x:c r="B1" s="10" t="s">
        <x:v>125</x:v>
      </x:c>
      <x:c r="C1" s="11" t="s">
        <x:v>193</x:v>
      </x:c>
      <x:c r="D1" s="11" t="s">
        <x:v>194</x:v>
      </x:c>
      <x:c r="E1" s="11" t="s">
        <x:v>195</x:v>
      </x:c>
      <x:c r="F1" s="11" t="s">
        <x:v>196</x:v>
      </x:c>
      <x:c r="G1" s="11" t="s">
        <x:v>197</x:v>
      </x:c>
      <x:c r="H1" s="11" t="s">
        <x:v>198</x:v>
      </x:c>
      <x:c r="I1" s="10" t="s">
        <x:v>199</x:v>
      </x:c>
      <x:c r="J1" s="10" t="s">
        <x:v>129</x:v>
      </x:c>
    </x:row>
    <x:row r="2">
      <x:c r="A2" s="13">
        <x:v>2021</x:v>
      </x:c>
      <x:c r="B2" s="13" t="s">
        <x:v>130</x:v>
      </x:c>
      <x:c r="C2" s="13">
        <x:v>540023600</x:v>
      </x:c>
      <x:c r="D2" s="13">
        <x:v>26342615</x:v>
      </x:c>
      <x:c r="E2" s="13">
        <x:v>39513922</x:v>
      </x:c>
      <x:c r="F2" s="13">
        <x:v>32928268</x:v>
      </x:c>
      <x:c r="G2" s="13">
        <x:v>19756961</x:v>
      </x:c>
      <x:c r="H2" s="13">
        <x:v>658565366</x:v>
      </x:c>
      <x:c r="I2" s="13" t="s">
        <x:v>200</x:v>
      </x:c>
      <x:c r="J2" s="13" t="s">
        <x:v>185</x:v>
      </x:c>
    </x:row>
    <x:row r="3">
      <x:c r="A3" s="13">
        <x:v>2021</x:v>
      </x:c>
      <x:c r="B3" s="13" t="s">
        <x:v>133</x:v>
      </x:c>
      <x:c r="C3" s="13">
        <x:v>1282480000</x:v>
      </x:c>
      <x:c r="D3" s="13">
        <x:v>62560000</x:v>
      </x:c>
      <x:c r="E3" s="13">
        <x:v>93840000</x:v>
      </x:c>
      <x:c r="F3" s="13">
        <x:v>78200000</x:v>
      </x:c>
      <x:c r="G3" s="13">
        <x:v>46920000</x:v>
      </x:c>
      <x:c r="H3" s="13">
        <x:v>1564000000</x:v>
      </x:c>
      <x:c r="I3" s="13" t="s">
        <x:v>200</x:v>
      </x:c>
      <x:c r="J3" s="13" t="s">
        <x:v>185</x:v>
      </x:c>
    </x:row>
    <x:row r="4">
      <x:c r="A4" s="13">
        <x:v>2021</x:v>
      </x:c>
      <x:c r="B4" s="13" t="s">
        <x:v>136</x:v>
      </x:c>
      <x:c r="C4" s="13">
        <x:v>283884130</x:v>
      </x:c>
      <x:c r="D4" s="13">
        <x:v>13848006</x:v>
      </x:c>
      <x:c r="E4" s="13">
        <x:v>20772009</x:v>
      </x:c>
      <x:c r="F4" s="13">
        <x:v>17310008</x:v>
      </x:c>
      <x:c r="G4" s="13">
        <x:v>10386005</x:v>
      </x:c>
      <x:c r="H4" s="13">
        <x:v>346200158</x:v>
      </x:c>
      <x:c r="I4" s="13" t="s">
        <x:v>200</x:v>
      </x:c>
      <x:c r="J4" s="13" t="s">
        <x:v>185</x:v>
      </x:c>
    </x:row>
    <x:row r="5">
      <x:c r="A5" s="13">
        <x:v>2021</x:v>
      </x:c>
      <x:c r="B5" s="13" t="s">
        <x:v>140</x:v>
      </x:c>
      <x:c r="C5" s="13">
        <x:v>228547260</x:v>
      </x:c>
      <x:c r="D5" s="13">
        <x:v>11148647</x:v>
      </x:c>
      <x:c r="E5" s="13">
        <x:v>16722970</x:v>
      </x:c>
      <x:c r="F5" s="13">
        <x:v>13935809</x:v>
      </x:c>
      <x:c r="G5" s="13">
        <x:v>8361485</x:v>
      </x:c>
      <x:c r="H5" s="13">
        <x:v>278716171</x:v>
      </x:c>
      <x:c r="I5" s="13" t="s">
        <x:v>200</x:v>
      </x:c>
      <x:c r="J5" s="13" t="s">
        <x:v>185</x:v>
      </x:c>
    </x:row>
    <x:row r="6">
      <x:c r="A6" s="13">
        <x:v>2021</x:v>
      </x:c>
      <x:c r="B6" s="13" t="s">
        <x:v>143</x:v>
      </x:c>
      <x:c r="C6" s="13">
        <x:v>554135015</x:v>
      </x:c>
      <x:c r="D6" s="13">
        <x:v>27030976</x:v>
      </x:c>
      <x:c r="E6" s="13">
        <x:v>40546464</x:v>
      </x:c>
      <x:c r="F6" s="13">
        <x:v>33788720</x:v>
      </x:c>
      <x:c r="G6" s="13">
        <x:v>20273233</x:v>
      </x:c>
      <x:c r="H6" s="13">
        <x:v>675774408</x:v>
      </x:c>
      <x:c r="I6" s="13" t="s">
        <x:v>200</x:v>
      </x:c>
      <x:c r="J6" s="13" t="s">
        <x:v>185</x:v>
      </x:c>
    </x:row>
    <x:row r="7">
      <x:c r="A7" s="13">
        <x:v>2021</x:v>
      </x:c>
      <x:c r="B7" s="13" t="s">
        <x:v>146</x:v>
      </x:c>
      <x:c r="C7" s="13">
        <x:v>308328772</x:v>
      </x:c>
      <x:c r="D7" s="13">
        <x:v>15040428</x:v>
      </x:c>
      <x:c r="E7" s="13">
        <x:v>22560642</x:v>
      </x:c>
      <x:c r="F7" s="13">
        <x:v>18800535</x:v>
      </x:c>
      <x:c r="G7" s="13">
        <x:v>11280321</x:v>
      </x:c>
      <x:c r="H7" s="13">
        <x:v>376010698</x:v>
      </x:c>
      <x:c r="I7" s="13" t="s">
        <x:v>200</x:v>
      </x:c>
      <x:c r="J7" s="13" t="s">
        <x:v>185</x:v>
      </x:c>
    </x:row>
    <x:row r="8">
      <x:c r="A8" s="13">
        <x:v>2022</x:v>
      </x:c>
      <x:c r="B8" s="13" t="s">
        <x:v>130</x:v>
      </x:c>
      <x:c r="C8" s="13">
        <x:v>557633066</x:v>
      </x:c>
      <x:c r="D8" s="13">
        <x:v>27201613</x:v>
      </x:c>
      <x:c r="E8" s="13">
        <x:v>40802419</x:v>
      </x:c>
      <x:c r="F8" s="13">
        <x:v>34002016</x:v>
      </x:c>
      <x:c r="G8" s="13">
        <x:v>20401210</x:v>
      </x:c>
      <x:c r="H8" s="13">
        <x:v>680040324</x:v>
      </x:c>
      <x:c r="I8" s="13" t="s">
        <x:v>200</x:v>
      </x:c>
      <x:c r="J8" s="13" t="s">
        <x:v>185</x:v>
      </x:c>
    </x:row>
    <x:row r="9">
      <x:c r="A9" s="13">
        <x:v>2022</x:v>
      </x:c>
      <x:c r="B9" s="13" t="s">
        <x:v>133</x:v>
      </x:c>
      <x:c r="C9" s="13">
        <x:v>1324300000</x:v>
      </x:c>
      <x:c r="D9" s="13">
        <x:v>64600000</x:v>
      </x:c>
      <x:c r="E9" s="13">
        <x:v>96900000</x:v>
      </x:c>
      <x:c r="F9" s="13">
        <x:v>80750000</x:v>
      </x:c>
      <x:c r="G9" s="13">
        <x:v>48450000</x:v>
      </x:c>
      <x:c r="H9" s="13">
        <x:v>1615000000</x:v>
      </x:c>
      <x:c r="I9" s="13" t="s">
        <x:v>200</x:v>
      </x:c>
      <x:c r="J9" s="13" t="s">
        <x:v>185</x:v>
      </x:c>
    </x:row>
    <x:row r="10">
      <x:c r="A10" s="13">
        <x:v>2022</x:v>
      </x:c>
      <x:c r="B10" s="13" t="s">
        <x:v>136</x:v>
      </x:c>
      <x:c r="C10" s="13">
        <x:v>293141221</x:v>
      </x:c>
      <x:c r="D10" s="13">
        <x:v>14299572</x:v>
      </x:c>
      <x:c r="E10" s="13">
        <x:v>21449358</x:v>
      </x:c>
      <x:c r="F10" s="13">
        <x:v>17874465</x:v>
      </x:c>
      <x:c r="G10" s="13">
        <x:v>10724678</x:v>
      </x:c>
      <x:c r="H10" s="13">
        <x:v>357489294</x:v>
      </x:c>
      <x:c r="I10" s="13" t="s">
        <x:v>200</x:v>
      </x:c>
      <x:c r="J10" s="13" t="s">
        <x:v>185</x:v>
      </x:c>
    </x:row>
    <x:row r="11">
      <x:c r="A11" s="13">
        <x:v>2022</x:v>
      </x:c>
      <x:c r="B11" s="13" t="s">
        <x:v>140</x:v>
      </x:c>
      <x:c r="C11" s="13">
        <x:v>235999888</x:v>
      </x:c>
      <x:c r="D11" s="13">
        <x:v>11512190</x:v>
      </x:c>
      <x:c r="E11" s="13">
        <x:v>17268285</x:v>
      </x:c>
      <x:c r="F11" s="13">
        <x:v>14390237</x:v>
      </x:c>
      <x:c r="G11" s="13">
        <x:v>8634142</x:v>
      </x:c>
      <x:c r="H11" s="13">
        <x:v>287804742</x:v>
      </x:c>
      <x:c r="I11" s="13" t="s">
        <x:v>200</x:v>
      </x:c>
      <x:c r="J11" s="13" t="s">
        <x:v>185</x:v>
      </x:c>
    </x:row>
    <x:row r="12">
      <x:c r="A12" s="13">
        <x:v>2022</x:v>
      </x:c>
      <x:c r="B12" s="13" t="s">
        <x:v>143</x:v>
      </x:c>
      <x:c r="C12" s="13">
        <x:v>572204635</x:v>
      </x:c>
      <x:c r="D12" s="13">
        <x:v>27912421</x:v>
      </x:c>
      <x:c r="E12" s="13">
        <x:v>41868632</x:v>
      </x:c>
      <x:c r="F12" s="13">
        <x:v>34890526</x:v>
      </x:c>
      <x:c r="G12" s="13">
        <x:v>20934316</x:v>
      </x:c>
      <x:c r="H12" s="13">
        <x:v>697810530</x:v>
      </x:c>
      <x:c r="I12" s="13" t="s">
        <x:v>200</x:v>
      </x:c>
      <x:c r="J12" s="13" t="s">
        <x:v>185</x:v>
      </x:c>
    </x:row>
    <x:row r="13">
      <x:c r="A13" s="13">
        <x:v>2022</x:v>
      </x:c>
      <x:c r="B13" s="13" t="s">
        <x:v>146</x:v>
      </x:c>
      <x:c r="C13" s="13">
        <x:v>318382971</x:v>
      </x:c>
      <x:c r="D13" s="13">
        <x:v>15530877</x:v>
      </x:c>
      <x:c r="E13" s="13">
        <x:v>23296315</x:v>
      </x:c>
      <x:c r="F13" s="13">
        <x:v>19413596</x:v>
      </x:c>
      <x:c r="G13" s="13">
        <x:v>11648157</x:v>
      </x:c>
      <x:c r="H13" s="13">
        <x:v>388271916</x:v>
      </x:c>
      <x:c r="I13" s="13" t="s">
        <x:v>200</x:v>
      </x:c>
      <x:c r="J13" s="13" t="s">
        <x:v>185</x:v>
      </x:c>
    </x:row>
    <x:row r="14">
      <x:c r="A14" s="13">
        <x:v>2023</x:v>
      </x:c>
      <x:c r="B14" s="13" t="s">
        <x:v>130</x:v>
      </x:c>
      <x:c r="C14" s="13">
        <x:v>586982174</x:v>
      </x:c>
      <x:c r="D14" s="13">
        <x:v>28633277</x:v>
      </x:c>
      <x:c r="E14" s="13">
        <x:v>42949915</x:v>
      </x:c>
      <x:c r="F14" s="13">
        <x:v>35791596</x:v>
      </x:c>
      <x:c r="G14" s="13">
        <x:v>21474958</x:v>
      </x:c>
      <x:c r="H14" s="13">
        <x:v>715831920</x:v>
      </x:c>
      <x:c r="I14" s="13" t="s">
        <x:v>200</x:v>
      </x:c>
      <x:c r="J14" s="13" t="s">
        <x:v>185</x:v>
      </x:c>
    </x:row>
    <x:row r="15">
      <x:c r="A15" s="13">
        <x:v>2023</x:v>
      </x:c>
      <x:c r="B15" s="13" t="s">
        <x:v>133</x:v>
      </x:c>
      <x:c r="C15" s="13">
        <x:v>1394000000</x:v>
      </x:c>
      <x:c r="D15" s="13">
        <x:v>68000000</x:v>
      </x:c>
      <x:c r="E15" s="13">
        <x:v>102000000</x:v>
      </x:c>
      <x:c r="F15" s="13">
        <x:v>85000000</x:v>
      </x:c>
      <x:c r="G15" s="13">
        <x:v>51000000</x:v>
      </x:c>
      <x:c r="H15" s="13">
        <x:v>1700000000</x:v>
      </x:c>
      <x:c r="I15" s="13" t="s">
        <x:v>200</x:v>
      </x:c>
      <x:c r="J15" s="13" t="s">
        <x:v>185</x:v>
      </x:c>
    </x:row>
    <x:row r="16">
      <x:c r="A16" s="13">
        <x:v>2023</x:v>
      </x:c>
      <x:c r="B16" s="13" t="s">
        <x:v>136</x:v>
      </x:c>
      <x:c r="C16" s="13">
        <x:v>308569706</x:v>
      </x:c>
      <x:c r="D16" s="13">
        <x:v>15052181</x:v>
      </x:c>
      <x:c r="E16" s="13">
        <x:v>22578271</x:v>
      </x:c>
      <x:c r="F16" s="13">
        <x:v>18815226</x:v>
      </x:c>
      <x:c r="G16" s="13">
        <x:v>11289136</x:v>
      </x:c>
      <x:c r="H16" s="13">
        <x:v>376304520</x:v>
      </x:c>
      <x:c r="I16" s="13" t="s">
        <x:v>200</x:v>
      </x:c>
      <x:c r="J16" s="13" t="s">
        <x:v>185</x:v>
      </x:c>
    </x:row>
    <x:row r="17">
      <x:c r="A17" s="13">
        <x:v>2023</x:v>
      </x:c>
      <x:c r="B17" s="13" t="s">
        <x:v>140</x:v>
      </x:c>
      <x:c r="C17" s="13">
        <x:v>248420935</x:v>
      </x:c>
      <x:c r="D17" s="13">
        <x:v>12118094</x:v>
      </x:c>
      <x:c r="E17" s="13">
        <x:v>18177142</x:v>
      </x:c>
      <x:c r="F17" s="13">
        <x:v>15147618</x:v>
      </x:c>
      <x:c r="G17" s="13">
        <x:v>9088571</x:v>
      </x:c>
      <x:c r="H17" s="13">
        <x:v>302952360</x:v>
      </x:c>
      <x:c r="I17" s="13" t="s">
        <x:v>200</x:v>
      </x:c>
      <x:c r="J17" s="13" t="s">
        <x:v>185</x:v>
      </x:c>
    </x:row>
    <x:row r="18">
      <x:c r="A18" s="13">
        <x:v>2023</x:v>
      </x:c>
      <x:c r="B18" s="13" t="s">
        <x:v>143</x:v>
      </x:c>
      <x:c r="C18" s="13">
        <x:v>602320668</x:v>
      </x:c>
      <x:c r="D18" s="13">
        <x:v>29381496</x:v>
      </x:c>
      <x:c r="E18" s="13">
        <x:v>44072244</x:v>
      </x:c>
      <x:c r="F18" s="13">
        <x:v>36726870</x:v>
      </x:c>
      <x:c r="G18" s="13">
        <x:v>22036122</x:v>
      </x:c>
      <x:c r="H18" s="13">
        <x:v>734537400</x:v>
      </x:c>
      <x:c r="I18" s="13" t="s">
        <x:v>200</x:v>
      </x:c>
      <x:c r="J18" s="13" t="s">
        <x:v>185</x:v>
      </x:c>
    </x:row>
    <x:row r="19">
      <x:c r="A19" s="13">
        <x:v>2023</x:v>
      </x:c>
      <x:c r="B19" s="13" t="s">
        <x:v>146</x:v>
      </x:c>
      <x:c r="C19" s="13">
        <x:v>335139970</x:v>
      </x:c>
      <x:c r="D19" s="13">
        <x:v>16348291</x:v>
      </x:c>
      <x:c r="E19" s="13">
        <x:v>24522437</x:v>
      </x:c>
      <x:c r="F19" s="13">
        <x:v>20435364</x:v>
      </x:c>
      <x:c r="G19" s="13">
        <x:v>12261218</x:v>
      </x:c>
      <x:c r="H19" s="13">
        <x:v>408707280</x:v>
      </x:c>
      <x:c r="I19" s="13" t="s">
        <x:v>200</x:v>
      </x:c>
      <x:c r="J19" s="13" t="s">
        <x:v>185</x:v>
      </x:c>
    </x:row>
    <x:row r="20">
      <x:c r="A20" s="13">
        <x:v>2024</x:v>
      </x:c>
      <x:c r="B20" s="13" t="s">
        <x:v>130</x:v>
      </x:c>
      <x:c r="C20" s="13">
        <x:v>628070926</x:v>
      </x:c>
      <x:c r="D20" s="13">
        <x:v>30637606</x:v>
      </x:c>
      <x:c r="E20" s="13">
        <x:v>45956409</x:v>
      </x:c>
      <x:c r="F20" s="13">
        <x:v>38297008</x:v>
      </x:c>
      <x:c r="G20" s="13">
        <x:v>22978205</x:v>
      </x:c>
      <x:c r="H20" s="13">
        <x:v>765940154</x:v>
      </x:c>
      <x:c r="I20" s="13" t="s">
        <x:v>200</x:v>
      </x:c>
      <x:c r="J20" s="13" t="s">
        <x:v>185</x:v>
      </x:c>
    </x:row>
    <x:row r="21">
      <x:c r="A21" s="13">
        <x:v>2024</x:v>
      </x:c>
      <x:c r="B21" s="13" t="s">
        <x:v>133</x:v>
      </x:c>
      <x:c r="C21" s="13">
        <x:v>1491580000</x:v>
      </x:c>
      <x:c r="D21" s="13">
        <x:v>72760000</x:v>
      </x:c>
      <x:c r="E21" s="13">
        <x:v>109140000</x:v>
      </x:c>
      <x:c r="F21" s="13">
        <x:v>90950000</x:v>
      </x:c>
      <x:c r="G21" s="13">
        <x:v>54570000</x:v>
      </x:c>
      <x:c r="H21" s="13">
        <x:v>1819000000</x:v>
      </x:c>
      <x:c r="I21" s="13" t="s">
        <x:v>200</x:v>
      </x:c>
      <x:c r="J21" s="13" t="s">
        <x:v>185</x:v>
      </x:c>
    </x:row>
    <x:row r="22">
      <x:c r="A22" s="13">
        <x:v>2024</x:v>
      </x:c>
      <x:c r="B22" s="13" t="s">
        <x:v>136</x:v>
      </x:c>
      <x:c r="C22" s="13">
        <x:v>330169586</x:v>
      </x:c>
      <x:c r="D22" s="13">
        <x:v>16105833</x:v>
      </x:c>
      <x:c r="E22" s="13">
        <x:v>24158750</x:v>
      </x:c>
      <x:c r="F22" s="13">
        <x:v>20132292</x:v>
      </x:c>
      <x:c r="G22" s="13">
        <x:v>12079375</x:v>
      </x:c>
      <x:c r="H22" s="13">
        <x:v>402645836</x:v>
      </x:c>
      <x:c r="I22" s="13" t="s">
        <x:v>200</x:v>
      </x:c>
      <x:c r="J22" s="13" t="s">
        <x:v>185</x:v>
      </x:c>
    </x:row>
    <x:row r="23">
      <x:c r="A23" s="13">
        <x:v>2024</x:v>
      </x:c>
      <x:c r="B23" s="13" t="s">
        <x:v>140</x:v>
      </x:c>
      <x:c r="C23" s="13">
        <x:v>265810400</x:v>
      </x:c>
      <x:c r="D23" s="13">
        <x:v>12966361</x:v>
      </x:c>
      <x:c r="E23" s="13">
        <x:v>19449542</x:v>
      </x:c>
      <x:c r="F23" s="13">
        <x:v>16207951</x:v>
      </x:c>
      <x:c r="G23" s="13">
        <x:v>9724771</x:v>
      </x:c>
      <x:c r="H23" s="13">
        <x:v>324159025</x:v>
      </x:c>
      <x:c r="I23" s="13" t="s">
        <x:v>200</x:v>
      </x:c>
      <x:c r="J23" s="13" t="s">
        <x:v>185</x:v>
      </x:c>
    </x:row>
    <x:row r="24">
      <x:c r="A24" s="13">
        <x:v>2024</x:v>
      </x:c>
      <x:c r="B24" s="13" t="s">
        <x:v>143</x:v>
      </x:c>
      <x:c r="C24" s="13">
        <x:v>644483115</x:v>
      </x:c>
      <x:c r="D24" s="13">
        <x:v>31438201</x:v>
      </x:c>
      <x:c r="E24" s="13">
        <x:v>47157301</x:v>
      </x:c>
      <x:c r="F24" s="13">
        <x:v>39297751</x:v>
      </x:c>
      <x:c r="G24" s="13">
        <x:v>23578650</x:v>
      </x:c>
      <x:c r="H24" s="13">
        <x:v>785955018</x:v>
      </x:c>
      <x:c r="I24" s="13" t="s">
        <x:v>200</x:v>
      </x:c>
      <x:c r="J24" s="13" t="s">
        <x:v>185</x:v>
      </x:c>
    </x:row>
    <x:row r="25">
      <x:c r="A25" s="13">
        <x:v>2024</x:v>
      </x:c>
      <x:c r="B25" s="13" t="s">
        <x:v>146</x:v>
      </x:c>
      <x:c r="C25" s="13">
        <x:v>358599768</x:v>
      </x:c>
      <x:c r="D25" s="13">
        <x:v>17492672</x:v>
      </x:c>
      <x:c r="E25" s="13">
        <x:v>26239007</x:v>
      </x:c>
      <x:c r="F25" s="13">
        <x:v>21865840</x:v>
      </x:c>
      <x:c r="G25" s="13">
        <x:v>13119503</x:v>
      </x:c>
      <x:c r="H25" s="13">
        <x:v>437316790</x:v>
      </x:c>
      <x:c r="I25" s="13" t="s">
        <x:v>200</x:v>
      </x:c>
      <x:c r="J25" s="13" t="s">
        <x:v>185</x:v>
      </x:c>
    </x:row>
    <x:row r="26">
      <x:c r="A26" s="13">
        <x:v>2025</x:v>
      </x:c>
      <x:c r="B26" s="13" t="s">
        <x:v>130</x:v>
      </x:c>
      <x:c r="C26" s="13">
        <x:v>586982174</x:v>
      </x:c>
      <x:c r="D26" s="13">
        <x:v>28633277</x:v>
      </x:c>
      <x:c r="E26" s="13">
        <x:v>42949915</x:v>
      </x:c>
      <x:c r="F26" s="13">
        <x:v>35791596</x:v>
      </x:c>
      <x:c r="G26" s="13">
        <x:v>21474958</x:v>
      </x:c>
      <x:c r="H26" s="13">
        <x:v>715831920</x:v>
      </x:c>
      <x:c r="I26" s="13" t="s">
        <x:v>200</x:v>
      </x:c>
      <x:c r="J26" s="13" t="s">
        <x:v>185</x:v>
      </x:c>
    </x:row>
    <x:row r="27">
      <x:c r="A27" s="13">
        <x:v>2025</x:v>
      </x:c>
      <x:c r="B27" s="13" t="s">
        <x:v>133</x:v>
      </x:c>
      <x:c r="C27" s="13">
        <x:v>1394000000</x:v>
      </x:c>
      <x:c r="D27" s="13">
        <x:v>68000000</x:v>
      </x:c>
      <x:c r="E27" s="13">
        <x:v>102000000</x:v>
      </x:c>
      <x:c r="F27" s="13">
        <x:v>85000000</x:v>
      </x:c>
      <x:c r="G27" s="13">
        <x:v>51000000</x:v>
      </x:c>
      <x:c r="H27" s="13">
        <x:v>1700000000</x:v>
      </x:c>
      <x:c r="I27" s="13" t="s">
        <x:v>200</x:v>
      </x:c>
      <x:c r="J27" s="13" t="s">
        <x:v>185</x:v>
      </x:c>
    </x:row>
    <x:row r="28">
      <x:c r="A28" s="13">
        <x:v>2025</x:v>
      </x:c>
      <x:c r="B28" s="13" t="s">
        <x:v>136</x:v>
      </x:c>
      <x:c r="C28" s="13">
        <x:v>308569706</x:v>
      </x:c>
      <x:c r="D28" s="13">
        <x:v>15052181</x:v>
      </x:c>
      <x:c r="E28" s="13">
        <x:v>22578271</x:v>
      </x:c>
      <x:c r="F28" s="13">
        <x:v>18815226</x:v>
      </x:c>
      <x:c r="G28" s="13">
        <x:v>11289136</x:v>
      </x:c>
      <x:c r="H28" s="13">
        <x:v>376304520</x:v>
      </x:c>
      <x:c r="I28" s="13" t="s">
        <x:v>200</x:v>
      </x:c>
      <x:c r="J28" s="13" t="s">
        <x:v>185</x:v>
      </x:c>
    </x:row>
    <x:row r="29">
      <x:c r="A29" s="13">
        <x:v>2025</x:v>
      </x:c>
      <x:c r="B29" s="13" t="s">
        <x:v>140</x:v>
      </x:c>
      <x:c r="C29" s="13">
        <x:v>248420935</x:v>
      </x:c>
      <x:c r="D29" s="13">
        <x:v>12118094</x:v>
      </x:c>
      <x:c r="E29" s="13">
        <x:v>18177142</x:v>
      </x:c>
      <x:c r="F29" s="13">
        <x:v>15147618</x:v>
      </x:c>
      <x:c r="G29" s="13">
        <x:v>9088571</x:v>
      </x:c>
      <x:c r="H29" s="13">
        <x:v>302952360</x:v>
      </x:c>
      <x:c r="I29" s="13" t="s">
        <x:v>200</x:v>
      </x:c>
      <x:c r="J29" s="13" t="s">
        <x:v>185</x:v>
      </x:c>
    </x:row>
    <x:row r="30">
      <x:c r="A30" s="13">
        <x:v>2025</x:v>
      </x:c>
      <x:c r="B30" s="13" t="s">
        <x:v>143</x:v>
      </x:c>
      <x:c r="C30" s="13">
        <x:v>602320668</x:v>
      </x:c>
      <x:c r="D30" s="13">
        <x:v>29381496</x:v>
      </x:c>
      <x:c r="E30" s="13">
        <x:v>44072244</x:v>
      </x:c>
      <x:c r="F30" s="13">
        <x:v>36726870</x:v>
      </x:c>
      <x:c r="G30" s="13">
        <x:v>22036122</x:v>
      </x:c>
      <x:c r="H30" s="13">
        <x:v>734537400</x:v>
      </x:c>
      <x:c r="I30" s="13" t="s">
        <x:v>200</x:v>
      </x:c>
      <x:c r="J30" s="13" t="s">
        <x:v>185</x:v>
      </x:c>
    </x:row>
    <x:row r="31">
      <x:c r="A31" s="13">
        <x:v>2025</x:v>
      </x:c>
      <x:c r="B31" s="13" t="s">
        <x:v>146</x:v>
      </x:c>
      <x:c r="C31" s="13">
        <x:v>335139970</x:v>
      </x:c>
      <x:c r="D31" s="13">
        <x:v>16348291</x:v>
      </x:c>
      <x:c r="E31" s="13">
        <x:v>24522437</x:v>
      </x:c>
      <x:c r="F31" s="13">
        <x:v>20435364</x:v>
      </x:c>
      <x:c r="G31" s="13">
        <x:v>12261218</x:v>
      </x:c>
      <x:c r="H31" s="13">
        <x:v>408707280</x:v>
      </x:c>
      <x:c r="I31" s="13" t="s">
        <x:v>200</x:v>
      </x:c>
      <x:c r="J31" s="13" t="s">
        <x:v>185</x:v>
      </x:c>
    </x:row>
    <x:row r="32">
      <x:c r="A32" s="13">
        <x:v>2026</x:v>
      </x:c>
      <x:c r="B32" s="13" t="s">
        <x:v>130</x:v>
      </x:c>
      <x:c r="C32" s="13">
        <x:v>633940749</x:v>
      </x:c>
      <x:c r="D32" s="13">
        <x:v>30923939</x:v>
      </x:c>
      <x:c r="E32" s="13">
        <x:v>46385908</x:v>
      </x:c>
      <x:c r="F32" s="13">
        <x:v>38654924</x:v>
      </x:c>
      <x:c r="G32" s="13">
        <x:v>23192954</x:v>
      </x:c>
      <x:c r="H32" s="13">
        <x:v>773098474</x:v>
      </x:c>
      <x:c r="I32" s="13" t="s">
        <x:v>200</x:v>
      </x:c>
      <x:c r="J32" s="13" t="s">
        <x:v>188</x:v>
      </x:c>
    </x:row>
    <x:row r="33">
      <x:c r="A33" s="13">
        <x:v>2026</x:v>
      </x:c>
      <x:c r="B33" s="13" t="s">
        <x:v>133</x:v>
      </x:c>
      <x:c r="C33" s="13">
        <x:v>1505520000</x:v>
      </x:c>
      <x:c r="D33" s="13">
        <x:v>73440000</x:v>
      </x:c>
      <x:c r="E33" s="13">
        <x:v>110160000</x:v>
      </x:c>
      <x:c r="F33" s="13">
        <x:v>91800000</x:v>
      </x:c>
      <x:c r="G33" s="13">
        <x:v>55080000</x:v>
      </x:c>
      <x:c r="H33" s="13">
        <x:v>1836000000</x:v>
      </x:c>
      <x:c r="I33" s="13" t="s">
        <x:v>200</x:v>
      </x:c>
      <x:c r="J33" s="13" t="s">
        <x:v>188</x:v>
      </x:c>
    </x:row>
    <x:row r="34">
      <x:c r="A34" s="13">
        <x:v>2026</x:v>
      </x:c>
      <x:c r="B34" s="13" t="s">
        <x:v>136</x:v>
      </x:c>
      <x:c r="C34" s="13">
        <x:v>333255283</x:v>
      </x:c>
      <x:c r="D34" s="13">
        <x:v>16256355</x:v>
      </x:c>
      <x:c r="E34" s="13">
        <x:v>24384533</x:v>
      </x:c>
      <x:c r="F34" s="13">
        <x:v>20320444</x:v>
      </x:c>
      <x:c r="G34" s="13">
        <x:v>12192267</x:v>
      </x:c>
      <x:c r="H34" s="13">
        <x:v>406408882</x:v>
      </x:c>
      <x:c r="I34" s="13" t="s">
        <x:v>200</x:v>
      </x:c>
      <x:c r="J34" s="13" t="s">
        <x:v>188</x:v>
      </x:c>
    </x:row>
    <x:row r="35">
      <x:c r="A35" s="13">
        <x:v>2026</x:v>
      </x:c>
      <x:c r="B35" s="13" t="s">
        <x:v>140</x:v>
      </x:c>
      <x:c r="C35" s="13">
        <x:v>268294610</x:v>
      </x:c>
      <x:c r="D35" s="13">
        <x:v>13087542</x:v>
      </x:c>
      <x:c r="E35" s="13">
        <x:v>19631313</x:v>
      </x:c>
      <x:c r="F35" s="13">
        <x:v>16359427</x:v>
      </x:c>
      <x:c r="G35" s="13">
        <x:v>9815657</x:v>
      </x:c>
      <x:c r="H35" s="13">
        <x:v>327188549</x:v>
      </x:c>
      <x:c r="I35" s="13" t="s">
        <x:v>200</x:v>
      </x:c>
      <x:c r="J35" s="13" t="s">
        <x:v>188</x:v>
      </x:c>
    </x:row>
    <x:row r="36">
      <x:c r="A36" s="13">
        <x:v>2026</x:v>
      </x:c>
      <x:c r="B36" s="13" t="s">
        <x:v>143</x:v>
      </x:c>
      <x:c r="C36" s="13">
        <x:v>650506321</x:v>
      </x:c>
      <x:c r="D36" s="13">
        <x:v>31732016</x:v>
      </x:c>
      <x:c r="E36" s="13">
        <x:v>47598024</x:v>
      </x:c>
      <x:c r="F36" s="13">
        <x:v>39665020</x:v>
      </x:c>
      <x:c r="G36" s="13">
        <x:v>23799011</x:v>
      </x:c>
      <x:c r="H36" s="13">
        <x:v>793300392</x:v>
      </x:c>
      <x:c r="I36" s="13" t="s">
        <x:v>200</x:v>
      </x:c>
      <x:c r="J36" s="13" t="s">
        <x:v>188</x:v>
      </x:c>
    </x:row>
    <x:row r="37">
      <x:c r="A37" s="13">
        <x:v>2026</x:v>
      </x:c>
      <x:c r="B37" s="13" t="s">
        <x:v>146</x:v>
      </x:c>
      <x:c r="C37" s="13">
        <x:v>361951167</x:v>
      </x:c>
      <x:c r="D37" s="13">
        <x:v>17656154</x:v>
      </x:c>
      <x:c r="E37" s="13">
        <x:v>26484232</x:v>
      </x:c>
      <x:c r="F37" s="13">
        <x:v>22070193</x:v>
      </x:c>
      <x:c r="G37" s="13">
        <x:v>13242116</x:v>
      </x:c>
      <x:c r="H37" s="13">
        <x:v>441403862</x:v>
      </x:c>
      <x:c r="I37" s="13" t="s">
        <x:v>200</x:v>
      </x:c>
      <x:c r="J37" s="13" t="s">
        <x:v>188</x:v>
      </x:c>
    </x:row>
  </x:sheetData>
  <x:dataValidations count="1">
    <x:dataValidation type="list" sqref="I2:I500">
      <x:formula1>"Payroll,Freelance,Contract,Outsource,Consultant"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c094e2e77544373"/>
  </x:tableParts>
</x:worksheet>
</file>

<file path=xl/worksheets/sheet11.xml><?xml version="1.0" encoding="utf-8"?>
<x:worksheet xmlns:x="http://schemas.openxmlformats.org/spreadsheetml/2006/main">
  <x:sheetFormatPr defaultRowHeight="14.25"/>
  <x:cols>
    <x:col min="1" max="7" width="20" customWidth="1"/>
  </x:cols>
  <x:sheetData>
    <x:row r="1" ht="30">
      <x:c r="A1" s="10" t="s">
        <x:v>172</x:v>
      </x:c>
      <x:c r="B1" s="10" t="s">
        <x:v>125</x:v>
      </x:c>
      <x:c r="C1" s="10" t="s">
        <x:v>201</x:v>
      </x:c>
      <x:c r="D1" s="10" t="s">
        <x:v>202</x:v>
      </x:c>
      <x:c r="E1" s="10" t="s">
        <x:v>203</x:v>
      </x:c>
      <x:c r="F1" s="10" t="s">
        <x:v>204</x:v>
      </x:c>
      <x:c r="G1" s="10" t="s">
        <x:v>129</x:v>
      </x:c>
    </x:row>
    <x:row r="2">
      <x:c r="A2" s="13">
        <x:v>2021</x:v>
      </x:c>
      <x:c r="B2" s="13" t="s">
        <x:v>130</x:v>
      </x:c>
      <x:c r="C2" s="13">
        <x:v>0</x:v>
      </x:c>
      <x:c r="D2" s="13">
        <x:v>0</x:v>
      </x:c>
      <x:c r="E2" s="13">
        <x:v>0</x:v>
      </x:c>
      <x:c r="F2" s="13">
        <x:v>0</x:v>
      </x:c>
      <x:c r="G2" s="13" t="s">
        <x:v>185</x:v>
      </x:c>
    </x:row>
    <x:row r="3">
      <x:c r="A3" s="13">
        <x:v>2021</x:v>
      </x:c>
      <x:c r="B3" s="13" t="s">
        <x:v>133</x:v>
      </x:c>
      <x:c r="C3" s="13">
        <x:v>0</x:v>
      </x:c>
      <x:c r="D3" s="13">
        <x:v>0</x:v>
      </x:c>
      <x:c r="E3" s="13">
        <x:v>0</x:v>
      </x:c>
      <x:c r="F3" s="13">
        <x:v>0</x:v>
      </x:c>
      <x:c r="G3" s="13" t="s">
        <x:v>185</x:v>
      </x:c>
    </x:row>
    <x:row r="4">
      <x:c r="A4" s="13">
        <x:v>2021</x:v>
      </x:c>
      <x:c r="B4" s="13" t="s">
        <x:v>136</x:v>
      </x:c>
      <x:c r="C4" s="13">
        <x:v>0</x:v>
      </x:c>
      <x:c r="D4" s="13">
        <x:v>0</x:v>
      </x:c>
      <x:c r="E4" s="13">
        <x:v>0</x:v>
      </x:c>
      <x:c r="F4" s="13">
        <x:v>0</x:v>
      </x:c>
      <x:c r="G4" s="13" t="s">
        <x:v>185</x:v>
      </x:c>
    </x:row>
    <x:row r="5">
      <x:c r="A5" s="13">
        <x:v>2021</x:v>
      </x:c>
      <x:c r="B5" s="13" t="s">
        <x:v>140</x:v>
      </x:c>
      <x:c r="C5" s="13">
        <x:v>0</x:v>
      </x:c>
      <x:c r="D5" s="13">
        <x:v>0</x:v>
      </x:c>
      <x:c r="E5" s="13">
        <x:v>0</x:v>
      </x:c>
      <x:c r="F5" s="13">
        <x:v>0</x:v>
      </x:c>
      <x:c r="G5" s="13" t="s">
        <x:v>185</x:v>
      </x:c>
    </x:row>
    <x:row r="6">
      <x:c r="A6" s="13">
        <x:v>2021</x:v>
      </x:c>
      <x:c r="B6" s="13" t="s">
        <x:v>143</x:v>
      </x:c>
      <x:c r="C6" s="13">
        <x:v>0</x:v>
      </x:c>
      <x:c r="D6" s="13">
        <x:v>0</x:v>
      </x:c>
      <x:c r="E6" s="13">
        <x:v>0</x:v>
      </x:c>
      <x:c r="F6" s="13">
        <x:v>0</x:v>
      </x:c>
      <x:c r="G6" s="13" t="s">
        <x:v>185</x:v>
      </x:c>
    </x:row>
    <x:row r="7">
      <x:c r="A7" s="13">
        <x:v>2021</x:v>
      </x:c>
      <x:c r="B7" s="13" t="s">
        <x:v>146</x:v>
      </x:c>
      <x:c r="C7" s="13">
        <x:v>0</x:v>
      </x:c>
      <x:c r="D7" s="13">
        <x:v>0</x:v>
      </x:c>
      <x:c r="E7" s="13">
        <x:v>0</x:v>
      </x:c>
      <x:c r="F7" s="13">
        <x:v>0</x:v>
      </x:c>
      <x:c r="G7" s="13" t="s">
        <x:v>185</x:v>
      </x:c>
    </x:row>
    <x:row r="8">
      <x:c r="A8" s="13">
        <x:v>2022</x:v>
      </x:c>
      <x:c r="B8" s="13" t="s">
        <x:v>130</x:v>
      </x:c>
      <x:c r="C8" s="13">
        <x:v>0</x:v>
      </x:c>
      <x:c r="D8" s="13">
        <x:v>0</x:v>
      </x:c>
      <x:c r="E8" s="13">
        <x:v>0</x:v>
      </x:c>
      <x:c r="F8" s="13">
        <x:v>0</x:v>
      </x:c>
      <x:c r="G8" s="13" t="s">
        <x:v>185</x:v>
      </x:c>
    </x:row>
    <x:row r="9">
      <x:c r="A9" s="13">
        <x:v>2022</x:v>
      </x:c>
      <x:c r="B9" s="13" t="s">
        <x:v>133</x:v>
      </x:c>
      <x:c r="C9" s="13">
        <x:v>0</x:v>
      </x:c>
      <x:c r="D9" s="13">
        <x:v>0</x:v>
      </x:c>
      <x:c r="E9" s="13">
        <x:v>0</x:v>
      </x:c>
      <x:c r="F9" s="13">
        <x:v>0</x:v>
      </x:c>
      <x:c r="G9" s="13" t="s">
        <x:v>185</x:v>
      </x:c>
    </x:row>
    <x:row r="10">
      <x:c r="A10" s="13">
        <x:v>2022</x:v>
      </x:c>
      <x:c r="B10" s="13" t="s">
        <x:v>136</x:v>
      </x:c>
      <x:c r="C10" s="13">
        <x:v>0</x:v>
      </x:c>
      <x:c r="D10" s="13">
        <x:v>0</x:v>
      </x:c>
      <x:c r="E10" s="13">
        <x:v>0</x:v>
      </x:c>
      <x:c r="F10" s="13">
        <x:v>0</x:v>
      </x:c>
      <x:c r="G10" s="13" t="s">
        <x:v>185</x:v>
      </x:c>
    </x:row>
    <x:row r="11">
      <x:c r="A11" s="13">
        <x:v>2022</x:v>
      </x:c>
      <x:c r="B11" s="13" t="s">
        <x:v>140</x:v>
      </x:c>
      <x:c r="C11" s="13">
        <x:v>0</x:v>
      </x:c>
      <x:c r="D11" s="13">
        <x:v>0</x:v>
      </x:c>
      <x:c r="E11" s="13">
        <x:v>0</x:v>
      </x:c>
      <x:c r="F11" s="13">
        <x:v>0</x:v>
      </x:c>
      <x:c r="G11" s="13" t="s">
        <x:v>185</x:v>
      </x:c>
    </x:row>
    <x:row r="12">
      <x:c r="A12" s="13">
        <x:v>2022</x:v>
      </x:c>
      <x:c r="B12" s="13" t="s">
        <x:v>143</x:v>
      </x:c>
      <x:c r="C12" s="13">
        <x:v>0</x:v>
      </x:c>
      <x:c r="D12" s="13">
        <x:v>0</x:v>
      </x:c>
      <x:c r="E12" s="13">
        <x:v>0</x:v>
      </x:c>
      <x:c r="F12" s="13">
        <x:v>0</x:v>
      </x:c>
      <x:c r="G12" s="13" t="s">
        <x:v>185</x:v>
      </x:c>
    </x:row>
    <x:row r="13">
      <x:c r="A13" s="13">
        <x:v>2022</x:v>
      </x:c>
      <x:c r="B13" s="13" t="s">
        <x:v>146</x:v>
      </x:c>
      <x:c r="C13" s="13">
        <x:v>0</x:v>
      </x:c>
      <x:c r="D13" s="13">
        <x:v>0</x:v>
      </x:c>
      <x:c r="E13" s="13">
        <x:v>0</x:v>
      </x:c>
      <x:c r="F13" s="13">
        <x:v>0</x:v>
      </x:c>
      <x:c r="G13" s="13" t="s">
        <x:v>185</x:v>
      </x:c>
    </x:row>
    <x:row r="14">
      <x:c r="A14" s="13">
        <x:v>2023</x:v>
      </x:c>
      <x:c r="B14" s="13" t="s">
        <x:v>130</x:v>
      </x:c>
      <x:c r="C14" s="13">
        <x:v>0</x:v>
      </x:c>
      <x:c r="D14" s="13">
        <x:v>0</x:v>
      </x:c>
      <x:c r="E14" s="13">
        <x:v>0</x:v>
      </x:c>
      <x:c r="F14" s="13">
        <x:v>0</x:v>
      </x:c>
      <x:c r="G14" s="13" t="s">
        <x:v>185</x:v>
      </x:c>
    </x:row>
    <x:row r="15">
      <x:c r="A15" s="13">
        <x:v>2023</x:v>
      </x:c>
      <x:c r="B15" s="13" t="s">
        <x:v>133</x:v>
      </x:c>
      <x:c r="C15" s="13">
        <x:v>0</x:v>
      </x:c>
      <x:c r="D15" s="13">
        <x:v>0</x:v>
      </x:c>
      <x:c r="E15" s="13">
        <x:v>0</x:v>
      </x:c>
      <x:c r="F15" s="13">
        <x:v>0</x:v>
      </x:c>
      <x:c r="G15" s="13" t="s">
        <x:v>185</x:v>
      </x:c>
    </x:row>
    <x:row r="16">
      <x:c r="A16" s="13">
        <x:v>2023</x:v>
      </x:c>
      <x:c r="B16" s="13" t="s">
        <x:v>136</x:v>
      </x:c>
      <x:c r="C16" s="13">
        <x:v>0</x:v>
      </x:c>
      <x:c r="D16" s="13">
        <x:v>0</x:v>
      </x:c>
      <x:c r="E16" s="13">
        <x:v>0</x:v>
      </x:c>
      <x:c r="F16" s="13">
        <x:v>0</x:v>
      </x:c>
      <x:c r="G16" s="13" t="s">
        <x:v>185</x:v>
      </x:c>
    </x:row>
    <x:row r="17">
      <x:c r="A17" s="13">
        <x:v>2023</x:v>
      </x:c>
      <x:c r="B17" s="13" t="s">
        <x:v>140</x:v>
      </x:c>
      <x:c r="C17" s="13">
        <x:v>0</x:v>
      </x:c>
      <x:c r="D17" s="13">
        <x:v>0</x:v>
      </x:c>
      <x:c r="E17" s="13">
        <x:v>0</x:v>
      </x:c>
      <x:c r="F17" s="13">
        <x:v>0</x:v>
      </x:c>
      <x:c r="G17" s="13" t="s">
        <x:v>185</x:v>
      </x:c>
    </x:row>
    <x:row r="18">
      <x:c r="A18" s="13">
        <x:v>2023</x:v>
      </x:c>
      <x:c r="B18" s="13" t="s">
        <x:v>143</x:v>
      </x:c>
      <x:c r="C18" s="13">
        <x:v>0</x:v>
      </x:c>
      <x:c r="D18" s="13">
        <x:v>0</x:v>
      </x:c>
      <x:c r="E18" s="13">
        <x:v>0</x:v>
      </x:c>
      <x:c r="F18" s="13">
        <x:v>0</x:v>
      </x:c>
      <x:c r="G18" s="13" t="s">
        <x:v>185</x:v>
      </x:c>
    </x:row>
    <x:row r="19">
      <x:c r="A19" s="13">
        <x:v>2023</x:v>
      </x:c>
      <x:c r="B19" s="13" t="s">
        <x:v>146</x:v>
      </x:c>
      <x:c r="C19" s="13">
        <x:v>0</x:v>
      </x:c>
      <x:c r="D19" s="13">
        <x:v>0</x:v>
      </x:c>
      <x:c r="E19" s="13">
        <x:v>0</x:v>
      </x:c>
      <x:c r="F19" s="13">
        <x:v>0</x:v>
      </x:c>
      <x:c r="G19" s="13" t="s">
        <x:v>185</x:v>
      </x:c>
    </x:row>
    <x:row r="20">
      <x:c r="A20" s="13">
        <x:v>2024</x:v>
      </x:c>
      <x:c r="B20" s="13" t="s">
        <x:v>130</x:v>
      </x:c>
      <x:c r="C20" s="13">
        <x:v>0</x:v>
      </x:c>
      <x:c r="D20" s="13">
        <x:v>0</x:v>
      </x:c>
      <x:c r="E20" s="13">
        <x:v>0</x:v>
      </x:c>
      <x:c r="F20" s="13">
        <x:v>0</x:v>
      </x:c>
      <x:c r="G20" s="13" t="s">
        <x:v>185</x:v>
      </x:c>
    </x:row>
    <x:row r="21">
      <x:c r="A21" s="13">
        <x:v>2024</x:v>
      </x:c>
      <x:c r="B21" s="13" t="s">
        <x:v>133</x:v>
      </x:c>
      <x:c r="C21" s="13">
        <x:v>1</x:v>
      </x:c>
      <x:c r="D21" s="13">
        <x:v>0</x:v>
      </x:c>
      <x:c r="E21" s="13">
        <x:v>0</x:v>
      </x:c>
      <x:c r="F21" s="13">
        <x:v>0</x:v>
      </x:c>
      <x:c r="G21" s="13" t="s">
        <x:v>185</x:v>
      </x:c>
    </x:row>
    <x:row r="22">
      <x:c r="A22" s="13">
        <x:v>2024</x:v>
      </x:c>
      <x:c r="B22" s="13" t="s">
        <x:v>136</x:v>
      </x:c>
      <x:c r="C22" s="13">
        <x:v>0</x:v>
      </x:c>
      <x:c r="D22" s="13">
        <x:v>0</x:v>
      </x:c>
      <x:c r="E22" s="13">
        <x:v>0</x:v>
      </x:c>
      <x:c r="F22" s="13">
        <x:v>0</x:v>
      </x:c>
      <x:c r="G22" s="13" t="s">
        <x:v>185</x:v>
      </x:c>
    </x:row>
    <x:row r="23">
      <x:c r="A23" s="13">
        <x:v>2024</x:v>
      </x:c>
      <x:c r="B23" s="13" t="s">
        <x:v>140</x:v>
      </x:c>
      <x:c r="C23" s="13">
        <x:v>0</x:v>
      </x:c>
      <x:c r="D23" s="13">
        <x:v>0</x:v>
      </x:c>
      <x:c r="E23" s="13">
        <x:v>0</x:v>
      </x:c>
      <x:c r="F23" s="13">
        <x:v>0</x:v>
      </x:c>
      <x:c r="G23" s="13" t="s">
        <x:v>185</x:v>
      </x:c>
    </x:row>
    <x:row r="24">
      <x:c r="A24" s="13">
        <x:v>2024</x:v>
      </x:c>
      <x:c r="B24" s="13" t="s">
        <x:v>143</x:v>
      </x:c>
      <x:c r="C24" s="13">
        <x:v>1</x:v>
      </x:c>
      <x:c r="D24" s="13">
        <x:v>0</x:v>
      </x:c>
      <x:c r="E24" s="13">
        <x:v>0</x:v>
      </x:c>
      <x:c r="F24" s="13">
        <x:v>0</x:v>
      </x:c>
      <x:c r="G24" s="13" t="s">
        <x:v>185</x:v>
      </x:c>
    </x:row>
    <x:row r="25">
      <x:c r="A25" s="13">
        <x:v>2024</x:v>
      </x:c>
      <x:c r="B25" s="13" t="s">
        <x:v>146</x:v>
      </x:c>
      <x:c r="C25" s="13">
        <x:v>0</x:v>
      </x:c>
      <x:c r="D25" s="13">
        <x:v>0</x:v>
      </x:c>
      <x:c r="E25" s="13">
        <x:v>0</x:v>
      </x:c>
      <x:c r="F25" s="13">
        <x:v>0</x:v>
      </x:c>
      <x:c r="G25" s="13" t="s">
        <x:v>185</x:v>
      </x:c>
    </x:row>
    <x:row r="26">
      <x:c r="A26" s="13">
        <x:v>2025</x:v>
      </x:c>
      <x:c r="B26" s="13" t="s">
        <x:v>130</x:v>
      </x:c>
      <x:c r="C26" s="13">
        <x:v>0</x:v>
      </x:c>
      <x:c r="D26" s="13">
        <x:v>0</x:v>
      </x:c>
      <x:c r="E26" s="13">
        <x:v>0</x:v>
      </x:c>
      <x:c r="F26" s="13">
        <x:v>0</x:v>
      </x:c>
      <x:c r="G26" s="13" t="s">
        <x:v>185</x:v>
      </x:c>
    </x:row>
    <x:row r="27">
      <x:c r="A27" s="13">
        <x:v>2025</x:v>
      </x:c>
      <x:c r="B27" s="13" t="s">
        <x:v>133</x:v>
      </x:c>
      <x:c r="C27" s="13">
        <x:v>1</x:v>
      </x:c>
      <x:c r="D27" s="13">
        <x:v>0</x:v>
      </x:c>
      <x:c r="E27" s="13">
        <x:v>0</x:v>
      </x:c>
      <x:c r="F27" s="13">
        <x:v>0</x:v>
      </x:c>
      <x:c r="G27" s="13" t="s">
        <x:v>185</x:v>
      </x:c>
    </x:row>
    <x:row r="28">
      <x:c r="A28" s="13">
        <x:v>2025</x:v>
      </x:c>
      <x:c r="B28" s="13" t="s">
        <x:v>136</x:v>
      </x:c>
      <x:c r="C28" s="13">
        <x:v>0</x:v>
      </x:c>
      <x:c r="D28" s="13">
        <x:v>0</x:v>
      </x:c>
      <x:c r="E28" s="13">
        <x:v>0</x:v>
      </x:c>
      <x:c r="F28" s="13">
        <x:v>0</x:v>
      </x:c>
      <x:c r="G28" s="13" t="s">
        <x:v>185</x:v>
      </x:c>
    </x:row>
    <x:row r="29">
      <x:c r="A29" s="13">
        <x:v>2025</x:v>
      </x:c>
      <x:c r="B29" s="13" t="s">
        <x:v>140</x:v>
      </x:c>
      <x:c r="C29" s="13">
        <x:v>0</x:v>
      </x:c>
      <x:c r="D29" s="13">
        <x:v>0</x:v>
      </x:c>
      <x:c r="E29" s="13">
        <x:v>0</x:v>
      </x:c>
      <x:c r="F29" s="13">
        <x:v>0</x:v>
      </x:c>
      <x:c r="G29" s="13" t="s">
        <x:v>185</x:v>
      </x:c>
    </x:row>
    <x:row r="30">
      <x:c r="A30" s="13">
        <x:v>2025</x:v>
      </x:c>
      <x:c r="B30" s="13" t="s">
        <x:v>143</x:v>
      </x:c>
      <x:c r="C30" s="13">
        <x:v>1</x:v>
      </x:c>
      <x:c r="D30" s="13">
        <x:v>0</x:v>
      </x:c>
      <x:c r="E30" s="13">
        <x:v>0</x:v>
      </x:c>
      <x:c r="F30" s="13">
        <x:v>0</x:v>
      </x:c>
      <x:c r="G30" s="13" t="s">
        <x:v>185</x:v>
      </x:c>
    </x:row>
    <x:row r="31">
      <x:c r="A31" s="13">
        <x:v>2025</x:v>
      </x:c>
      <x:c r="B31" s="13" t="s">
        <x:v>146</x:v>
      </x:c>
      <x:c r="C31" s="13">
        <x:v>0</x:v>
      </x:c>
      <x:c r="D31" s="13">
        <x:v>0</x:v>
      </x:c>
      <x:c r="E31" s="13">
        <x:v>0</x:v>
      </x:c>
      <x:c r="F31" s="13">
        <x:v>0</x:v>
      </x:c>
      <x:c r="G31" s="13" t="s">
        <x:v>185</x:v>
      </x:c>
    </x:row>
    <x:row r="32">
      <x:c r="A32" s="13">
        <x:v>2026</x:v>
      </x:c>
      <x:c r="B32" s="13" t="s">
        <x:v>130</x:v>
      </x:c>
      <x:c r="C32" s="13">
        <x:v>1</x:v>
      </x:c>
      <x:c r="D32" s="13">
        <x:v>0</x:v>
      </x:c>
      <x:c r="E32" s="13">
        <x:v>0</x:v>
      </x:c>
      <x:c r="F32" s="13">
        <x:v>0</x:v>
      </x:c>
      <x:c r="G32" s="13" t="s">
        <x:v>188</x:v>
      </x:c>
    </x:row>
    <x:row r="33">
      <x:c r="A33" s="13">
        <x:v>2026</x:v>
      </x:c>
      <x:c r="B33" s="13" t="s">
        <x:v>133</x:v>
      </x:c>
      <x:c r="C33" s="13">
        <x:v>2</x:v>
      </x:c>
      <x:c r="D33" s="13">
        <x:v>0</x:v>
      </x:c>
      <x:c r="E33" s="13">
        <x:v>0</x:v>
      </x:c>
      <x:c r="F33" s="13">
        <x:v>0</x:v>
      </x:c>
      <x:c r="G33" s="13" t="s">
        <x:v>188</x:v>
      </x:c>
    </x:row>
    <x:row r="34">
      <x:c r="A34" s="13">
        <x:v>2026</x:v>
      </x:c>
      <x:c r="B34" s="13" t="s">
        <x:v>136</x:v>
      </x:c>
      <x:c r="C34" s="13">
        <x:v>0</x:v>
      </x:c>
      <x:c r="D34" s="13">
        <x:v>0</x:v>
      </x:c>
      <x:c r="E34" s="13">
        <x:v>0</x:v>
      </x:c>
      <x:c r="F34" s="13">
        <x:v>0</x:v>
      </x:c>
      <x:c r="G34" s="13" t="s">
        <x:v>188</x:v>
      </x:c>
    </x:row>
    <x:row r="35">
      <x:c r="A35" s="13">
        <x:v>2026</x:v>
      </x:c>
      <x:c r="B35" s="13" t="s">
        <x:v>140</x:v>
      </x:c>
      <x:c r="C35" s="13">
        <x:v>0</x:v>
      </x:c>
      <x:c r="D35" s="13">
        <x:v>0</x:v>
      </x:c>
      <x:c r="E35" s="13">
        <x:v>0</x:v>
      </x:c>
      <x:c r="F35" s="13">
        <x:v>0</x:v>
      </x:c>
      <x:c r="G35" s="13" t="s">
        <x:v>188</x:v>
      </x:c>
    </x:row>
    <x:row r="36">
      <x:c r="A36" s="13">
        <x:v>2026</x:v>
      </x:c>
      <x:c r="B36" s="13" t="s">
        <x:v>143</x:v>
      </x:c>
      <x:c r="C36" s="13">
        <x:v>1</x:v>
      </x:c>
      <x:c r="D36" s="13">
        <x:v>0</x:v>
      </x:c>
      <x:c r="E36" s="13">
        <x:v>0</x:v>
      </x:c>
      <x:c r="F36" s="13">
        <x:v>0</x:v>
      </x:c>
      <x:c r="G36" s="13" t="s">
        <x:v>188</x:v>
      </x:c>
    </x:row>
    <x:row r="37">
      <x:c r="A37" s="13">
        <x:v>2026</x:v>
      </x:c>
      <x:c r="B37" s="13" t="s">
        <x:v>146</x:v>
      </x:c>
      <x:c r="C37" s="13">
        <x:v>0</x:v>
      </x:c>
      <x:c r="D37" s="13">
        <x:v>0</x:v>
      </x:c>
      <x:c r="E37" s="13">
        <x:v>0</x:v>
      </x:c>
      <x:c r="F37" s="13">
        <x:v>0</x:v>
      </x:c>
      <x:c r="G37" s="13" t="s">
        <x:v>188</x:v>
      </x:c>
    </x:row>
  </x:sheetData>
  <x:pageMargins left="0.7" right="0.7" top="0.75" bottom="0.75" header="0.3" footer="0.3"/>
  <x:tableParts count="1">
    <x:tablePart xmlns:r="http://schemas.openxmlformats.org/officeDocument/2006/relationships" r:id="R335913e6cba3454d"/>
  </x:tableParts>
</x:worksheet>
</file>

<file path=xl/worksheets/sheet12.xml><?xml version="1.0" encoding="utf-8"?>
<x:worksheet xmlns:x="http://schemas.openxmlformats.org/spreadsheetml/2006/main">
  <x:sheetFormatPr defaultRowHeight="14.25"/>
  <x:cols>
    <x:col min="1" max="2" width="20" customWidth="1"/>
    <x:col min="3" max="4" width="24" customWidth="1"/>
    <x:col min="5" max="10" width="20" customWidth="1"/>
  </x:cols>
  <x:sheetData>
    <x:row r="1" ht="15">
      <x:c r="A1" s="10" t="s">
        <x:v>172</x:v>
      </x:c>
      <x:c r="B1" s="10" t="s">
        <x:v>205</x:v>
      </x:c>
      <x:c r="C1" s="10" t="s">
        <x:v>206</x:v>
      </x:c>
      <x:c r="D1" s="10" t="s">
        <x:v>173</x:v>
      </x:c>
      <x:c r="E1" s="11" t="s">
        <x:v>207</x:v>
      </x:c>
      <x:c r="F1" s="11" t="s">
        <x:v>208</x:v>
      </x:c>
      <x:c r="G1" s="11" t="s">
        <x:v>176</x:v>
      </x:c>
      <x:c r="H1" s="12" t="s">
        <x:v>177</x:v>
      </x:c>
      <x:c r="I1" s="10" t="s">
        <x:v>209</x:v>
      </x:c>
      <x:c r="J1" s="10" t="s">
        <x:v>129</x:v>
      </x:c>
    </x:row>
    <x:row r="2">
      <x:c r="A2" s="13">
        <x:v>2025</x:v>
      </x:c>
      <x:c r="B2" s="13" t="s">
        <x:v>210</x:v>
      </x:c>
      <x:c r="C2" s="13" t="s">
        <x:v>211</x:v>
      </x:c>
      <x:c r="D2" s="13" t="s">
        <x:v>212</x:v>
      </x:c>
      <x:c r="E2" s="13">
        <x:v>25000000000</x:v>
      </x:c>
      <x:c r="F2" s="13">
        <x:v>19000000000</x:v>
      </x:c>
      <x:c r="G2" s="13" t="n">
        <x:f t="shared" ref="G2:G7" si="0">E2-F2</x:f>
        <x:v>6000000000</x:v>
      </x:c>
      <x:c r="H2" s="13" t="n">
        <x:f t="shared" ref="H2:H7" si="1">IF(E2&gt;0,G2/E2,"")</x:f>
        <x:v>0.24</x:v>
      </x:c>
      <x:c r="I2" s="13" t="s">
        <x:v>213</x:v>
      </x:c>
      <x:c r="J2" s="13" t="s">
        <x:v>185</x:v>
      </x:c>
    </x:row>
    <x:row r="3">
      <x:c r="A3" s="13">
        <x:v>2025</x:v>
      </x:c>
      <x:c r="B3" s="13" t="s">
        <x:v>214</x:v>
      </x:c>
      <x:c r="C3" s="13" t="s">
        <x:v>215</x:v>
      </x:c>
      <x:c r="D3" s="13" t="s">
        <x:v>216</x:v>
      </x:c>
      <x:c r="E3" s="13">
        <x:v>18000000000</x:v>
      </x:c>
      <x:c r="F3" s="13">
        <x:v>14200000000</x:v>
      </x:c>
      <x:c r="G3" s="13">
        <x:f t="shared" si="0"/>
        <x:v>3800000000</x:v>
      </x:c>
      <x:c r="H3" s="13">
        <x:f t="shared" si="1"/>
        <x:v>0.21111111111111111</x:v>
      </x:c>
      <x:c r="I3" s="13" t="s">
        <x:v>217</x:v>
      </x:c>
      <x:c r="J3" s="13" t="s">
        <x:v>185</x:v>
      </x:c>
    </x:row>
    <x:row r="4">
      <x:c r="A4" s="13">
        <x:v>2025</x:v>
      </x:c>
      <x:c r="B4" s="13" t="s">
        <x:v>218</x:v>
      </x:c>
      <x:c r="C4" s="13" t="s">
        <x:v>219</x:v>
      </x:c>
      <x:c r="D4" s="13" t="s">
        <x:v>220</x:v>
      </x:c>
      <x:c r="E4" s="13">
        <x:v>12000000000</x:v>
      </x:c>
      <x:c r="F4" s="13">
        <x:v>8900000000</x:v>
      </x:c>
      <x:c r="G4" s="13">
        <x:f t="shared" si="0"/>
        <x:v>3100000000</x:v>
      </x:c>
      <x:c r="H4" s="13">
        <x:f t="shared" si="1"/>
        <x:v>0.25833333333333336</x:v>
      </x:c>
      <x:c r="I4" s="13" t="s">
        <x:v>213</x:v>
      </x:c>
      <x:c r="J4" s="13" t="s">
        <x:v>185</x:v>
      </x:c>
    </x:row>
    <x:row r="5">
      <x:c r="A5" s="13">
        <x:v>2026</x:v>
      </x:c>
      <x:c r="B5" s="13" t="s">
        <x:v>221</x:v>
      </x:c>
      <x:c r="C5" s="13" t="s">
        <x:v>222</x:v>
      </x:c>
      <x:c r="D5" s="13" t="s">
        <x:v>212</x:v>
      </x:c>
      <x:c r="E5" s="13">
        <x:v>31000000000</x:v>
      </x:c>
      <x:c r="F5" s="13">
        <x:v>22400000000</x:v>
      </x:c>
      <x:c r="G5" s="13">
        <x:f t="shared" si="0"/>
        <x:v>8600000000</x:v>
      </x:c>
      <x:c r="H5" s="13">
        <x:f t="shared" si="1"/>
        <x:v>0.27741935483870966</x:v>
      </x:c>
      <x:c r="I5" s="13" t="s">
        <x:v>213</x:v>
      </x:c>
      <x:c r="J5" s="13" t="s">
        <x:v>188</x:v>
      </x:c>
    </x:row>
    <x:row r="6">
      <x:c r="A6" s="13">
        <x:v>2026</x:v>
      </x:c>
      <x:c r="B6" s="13" t="s">
        <x:v>223</x:v>
      </x:c>
      <x:c r="C6" s="13" t="s">
        <x:v>224</x:v>
      </x:c>
      <x:c r="D6" s="13" t="s">
        <x:v>216</x:v>
      </x:c>
      <x:c r="E6" s="13">
        <x:v>21000000000</x:v>
      </x:c>
      <x:c r="F6" s="13">
        <x:v>15800000000</x:v>
      </x:c>
      <x:c r="G6" s="13">
        <x:f t="shared" si="0"/>
        <x:v>5200000000</x:v>
      </x:c>
      <x:c r="H6" s="13">
        <x:f t="shared" si="1"/>
        <x:v>0.24761904761904763</x:v>
      </x:c>
      <x:c r="I6" s="13" t="s">
        <x:v>213</x:v>
      </x:c>
      <x:c r="J6" s="13" t="s">
        <x:v>188</x:v>
      </x:c>
    </x:row>
    <x:row r="7">
      <x:c r="A7" s="13">
        <x:v>2026</x:v>
      </x:c>
      <x:c r="B7" s="13" t="s">
        <x:v>225</x:v>
      </x:c>
      <x:c r="C7" s="13" t="s">
        <x:v>226</x:v>
      </x:c>
      <x:c r="D7" s="13" t="s">
        <x:v>220</x:v>
      </x:c>
      <x:c r="E7" s="13">
        <x:v>14500000000</x:v>
      </x:c>
      <x:c r="F7" s="13">
        <x:v>10500000000</x:v>
      </x:c>
      <x:c r="G7" s="13">
        <x:f t="shared" si="0"/>
        <x:v>4000000000</x:v>
      </x:c>
      <x:c r="H7" s="13">
        <x:f t="shared" si="1"/>
        <x:v>0.27586206896551724</x:v>
      </x:c>
      <x:c r="I7" s="13" t="s">
        <x:v>213</x:v>
      </x:c>
      <x:c r="J7" s="13" t="s">
        <x:v>188</x:v>
      </x:c>
    </x:row>
  </x:sheetData>
  <x:dataValidations count="1">
    <x:dataValidation type="list" sqref="I2:I500">
      <x:formula1>"Active,Closed,On Hold,Cancelled"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017cabb4f594ee9"/>
  </x:tableParts>
</x:worksheet>
</file>

<file path=xl/worksheets/sheet13.xml><?xml version="1.0" encoding="utf-8"?>
<x:worksheet xmlns:x="http://schemas.openxmlformats.org/spreadsheetml/2006/main">
  <x:sheetFormatPr defaultRowHeight="14.25"/>
  <x:cols>
    <x:col min="1" max="10" width="20" customWidth="1"/>
  </x:cols>
  <x:sheetData>
    <x:row r="1" ht="30">
      <x:c r="A1" s="10" t="s">
        <x:v>172</x:v>
      </x:c>
      <x:c r="B1" s="10" t="s">
        <x:v>125</x:v>
      </x:c>
      <x:c r="C1" s="12" t="s">
        <x:v>227</x:v>
      </x:c>
      <x:c r="D1" s="10" t="s">
        <x:v>228</x:v>
      </x:c>
      <x:c r="E1" s="10" t="s">
        <x:v>229</x:v>
      </x:c>
      <x:c r="F1" s="10" t="s">
        <x:v>230</x:v>
      </x:c>
      <x:c r="G1" s="10" t="s">
        <x:v>231</x:v>
      </x:c>
      <x:c r="H1" s="10" t="s">
        <x:v>232</x:v>
      </x:c>
      <x:c r="I1" s="10" t="s">
        <x:v>233</x:v>
      </x:c>
      <x:c r="J1" s="10" t="s">
        <x:v>129</x:v>
      </x:c>
    </x:row>
    <x:row r="2">
      <x:c r="A2" s="13">
        <x:v>2021</x:v>
      </x:c>
      <x:c r="B2" s="13" t="s">
        <x:v>130</x:v>
      </x:c>
      <x:c r="C2" s="13">
        <x:v>0.78</x:v>
      </x:c>
      <x:c r="D2" s="13">
        <x:v>120</x:v>
      </x:c>
      <x:c r="E2" s="13">
        <x:v>8</x:v>
      </x:c>
      <x:c r="F2" s="13">
        <x:v>0</x:v>
      </x:c>
      <x:c r="G2" s="13">
        <x:v>2</x:v>
      </x:c>
      <x:c r="H2" s="13">
        <x:v>0</x:v>
      </x:c>
      <x:c r="I2" s="13" t="s">
        <x:v>234</x:v>
      </x:c>
      <x:c r="J2" s="13" t="s">
        <x:v>185</x:v>
      </x:c>
    </x:row>
    <x:row r="3">
      <x:c r="A3" s="13">
        <x:v>2021</x:v>
      </x:c>
      <x:c r="B3" s="13" t="s">
        <x:v>133</x:v>
      </x:c>
      <x:c r="C3" s="13">
        <x:v>0.86</x:v>
      </x:c>
      <x:c r="D3" s="13">
        <x:v>420</x:v>
      </x:c>
      <x:c r="E3" s="13">
        <x:v>24</x:v>
      </x:c>
      <x:c r="F3" s="13">
        <x:v>2</x:v>
      </x:c>
      <x:c r="G3" s="13">
        <x:v>8</x:v>
      </x:c>
      <x:c r="H3" s="13">
        <x:v>1</x:v>
      </x:c>
      <x:c r="I3" s="13" t="s">
        <x:v>235</x:v>
      </x:c>
      <x:c r="J3" s="13" t="s">
        <x:v>185</x:v>
      </x:c>
    </x:row>
    <x:row r="4">
      <x:c r="A4" s="13">
        <x:v>2021</x:v>
      </x:c>
      <x:c r="B4" s="13" t="s">
        <x:v>143</x:v>
      </x:c>
      <x:c r="C4" s="13">
        <x:v>0.88</x:v>
      </x:c>
      <x:c r="D4" s="13">
        <x:v>360</x:v>
      </x:c>
      <x:c r="E4" s="13">
        <x:v>20</x:v>
      </x:c>
      <x:c r="F4" s="13">
        <x:v>1</x:v>
      </x:c>
      <x:c r="G4" s="13">
        <x:v>6</x:v>
      </x:c>
      <x:c r="H4" s="13">
        <x:v>1</x:v>
      </x:c>
      <x:c r="I4" s="13" t="s">
        <x:v>235</x:v>
      </x:c>
      <x:c r="J4" s="13" t="s">
        <x:v>185</x:v>
      </x:c>
    </x:row>
    <x:row r="5">
      <x:c r="A5" s="13">
        <x:v>2021</x:v>
      </x:c>
      <x:c r="B5" s="13" t="s">
        <x:v>136</x:v>
      </x:c>
      <x:c r="C5" s="13">
        <x:v>0.7</x:v>
      </x:c>
      <x:c r="D5" s="13">
        <x:v>60</x:v>
      </x:c>
      <x:c r="E5" s="13">
        <x:v>3</x:v>
      </x:c>
      <x:c r="F5" s="13">
        <x:v>0</x:v>
      </x:c>
      <x:c r="G5" s="13">
        <x:v>1</x:v>
      </x:c>
      <x:c r="H5" s="13">
        <x:v>0</x:v>
      </x:c>
      <x:c r="I5" s="13" t="s">
        <x:v>236</x:v>
      </x:c>
      <x:c r="J5" s="13" t="s">
        <x:v>185</x:v>
      </x:c>
    </x:row>
    <x:row r="6">
      <x:c r="A6" s="13">
        <x:v>2022</x:v>
      </x:c>
      <x:c r="B6" s="13" t="s">
        <x:v>130</x:v>
      </x:c>
      <x:c r="C6" s="13">
        <x:v>0.78</x:v>
      </x:c>
      <x:c r="D6" s="13">
        <x:v>120</x:v>
      </x:c>
      <x:c r="E6" s="13">
        <x:v>8</x:v>
      </x:c>
      <x:c r="F6" s="13">
        <x:v>0</x:v>
      </x:c>
      <x:c r="G6" s="13">
        <x:v>2</x:v>
      </x:c>
      <x:c r="H6" s="13">
        <x:v>0</x:v>
      </x:c>
      <x:c r="I6" s="13" t="s">
        <x:v>234</x:v>
      </x:c>
      <x:c r="J6" s="13" t="s">
        <x:v>185</x:v>
      </x:c>
    </x:row>
    <x:row r="7">
      <x:c r="A7" s="13">
        <x:v>2022</x:v>
      </x:c>
      <x:c r="B7" s="13" t="s">
        <x:v>133</x:v>
      </x:c>
      <x:c r="C7" s="13">
        <x:v>0.86</x:v>
      </x:c>
      <x:c r="D7" s="13">
        <x:v>420</x:v>
      </x:c>
      <x:c r="E7" s="13">
        <x:v>24</x:v>
      </x:c>
      <x:c r="F7" s="13">
        <x:v>2</x:v>
      </x:c>
      <x:c r="G7" s="13">
        <x:v>8</x:v>
      </x:c>
      <x:c r="H7" s="13">
        <x:v>1</x:v>
      </x:c>
      <x:c r="I7" s="13" t="s">
        <x:v>235</x:v>
      </x:c>
      <x:c r="J7" s="13" t="s">
        <x:v>185</x:v>
      </x:c>
    </x:row>
    <x:row r="8">
      <x:c r="A8" s="13">
        <x:v>2022</x:v>
      </x:c>
      <x:c r="B8" s="13" t="s">
        <x:v>143</x:v>
      </x:c>
      <x:c r="C8" s="13">
        <x:v>0.88</x:v>
      </x:c>
      <x:c r="D8" s="13">
        <x:v>360</x:v>
      </x:c>
      <x:c r="E8" s="13">
        <x:v>20</x:v>
      </x:c>
      <x:c r="F8" s="13">
        <x:v>1</x:v>
      </x:c>
      <x:c r="G8" s="13">
        <x:v>6</x:v>
      </x:c>
      <x:c r="H8" s="13">
        <x:v>1</x:v>
      </x:c>
      <x:c r="I8" s="13" t="s">
        <x:v>235</x:v>
      </x:c>
      <x:c r="J8" s="13" t="s">
        <x:v>185</x:v>
      </x:c>
    </x:row>
    <x:row r="9">
      <x:c r="A9" s="13">
        <x:v>2022</x:v>
      </x:c>
      <x:c r="B9" s="13" t="s">
        <x:v>136</x:v>
      </x:c>
      <x:c r="C9" s="13">
        <x:v>0.7</x:v>
      </x:c>
      <x:c r="D9" s="13">
        <x:v>60</x:v>
      </x:c>
      <x:c r="E9" s="13">
        <x:v>3</x:v>
      </x:c>
      <x:c r="F9" s="13">
        <x:v>0</x:v>
      </x:c>
      <x:c r="G9" s="13">
        <x:v>1</x:v>
      </x:c>
      <x:c r="H9" s="13">
        <x:v>0</x:v>
      </x:c>
      <x:c r="I9" s="13" t="s">
        <x:v>236</x:v>
      </x:c>
      <x:c r="J9" s="13" t="s">
        <x:v>185</x:v>
      </x:c>
    </x:row>
    <x:row r="10">
      <x:c r="A10" s="13">
        <x:v>2023</x:v>
      </x:c>
      <x:c r="B10" s="13" t="s">
        <x:v>130</x:v>
      </x:c>
      <x:c r="C10" s="13">
        <x:v>0.78</x:v>
      </x:c>
      <x:c r="D10" s="13">
        <x:v>120</x:v>
      </x:c>
      <x:c r="E10" s="13">
        <x:v>8</x:v>
      </x:c>
      <x:c r="F10" s="13">
        <x:v>0</x:v>
      </x:c>
      <x:c r="G10" s="13">
        <x:v>2</x:v>
      </x:c>
      <x:c r="H10" s="13">
        <x:v>0</x:v>
      </x:c>
      <x:c r="I10" s="13" t="s">
        <x:v>234</x:v>
      </x:c>
      <x:c r="J10" s="13" t="s">
        <x:v>185</x:v>
      </x:c>
    </x:row>
    <x:row r="11">
      <x:c r="A11" s="13">
        <x:v>2023</x:v>
      </x:c>
      <x:c r="B11" s="13" t="s">
        <x:v>133</x:v>
      </x:c>
      <x:c r="C11" s="13">
        <x:v>0.86</x:v>
      </x:c>
      <x:c r="D11" s="13">
        <x:v>420</x:v>
      </x:c>
      <x:c r="E11" s="13">
        <x:v>24</x:v>
      </x:c>
      <x:c r="F11" s="13">
        <x:v>2</x:v>
      </x:c>
      <x:c r="G11" s="13">
        <x:v>8</x:v>
      </x:c>
      <x:c r="H11" s="13">
        <x:v>1</x:v>
      </x:c>
      <x:c r="I11" s="13" t="s">
        <x:v>235</x:v>
      </x:c>
      <x:c r="J11" s="13" t="s">
        <x:v>185</x:v>
      </x:c>
    </x:row>
    <x:row r="12">
      <x:c r="A12" s="13">
        <x:v>2023</x:v>
      </x:c>
      <x:c r="B12" s="13" t="s">
        <x:v>143</x:v>
      </x:c>
      <x:c r="C12" s="13">
        <x:v>0.88</x:v>
      </x:c>
      <x:c r="D12" s="13">
        <x:v>360</x:v>
      </x:c>
      <x:c r="E12" s="13">
        <x:v>20</x:v>
      </x:c>
      <x:c r="F12" s="13">
        <x:v>1</x:v>
      </x:c>
      <x:c r="G12" s="13">
        <x:v>6</x:v>
      </x:c>
      <x:c r="H12" s="13">
        <x:v>1</x:v>
      </x:c>
      <x:c r="I12" s="13" t="s">
        <x:v>235</x:v>
      </x:c>
      <x:c r="J12" s="13" t="s">
        <x:v>185</x:v>
      </x:c>
    </x:row>
    <x:row r="13">
      <x:c r="A13" s="13">
        <x:v>2023</x:v>
      </x:c>
      <x:c r="B13" s="13" t="s">
        <x:v>136</x:v>
      </x:c>
      <x:c r="C13" s="13">
        <x:v>0.7</x:v>
      </x:c>
      <x:c r="D13" s="13">
        <x:v>60</x:v>
      </x:c>
      <x:c r="E13" s="13">
        <x:v>3</x:v>
      </x:c>
      <x:c r="F13" s="13">
        <x:v>0</x:v>
      </x:c>
      <x:c r="G13" s="13">
        <x:v>1</x:v>
      </x:c>
      <x:c r="H13" s="13">
        <x:v>0</x:v>
      </x:c>
      <x:c r="I13" s="13" t="s">
        <x:v>236</x:v>
      </x:c>
      <x:c r="J13" s="13" t="s">
        <x:v>185</x:v>
      </x:c>
    </x:row>
    <x:row r="14">
      <x:c r="A14" s="13">
        <x:v>2024</x:v>
      </x:c>
      <x:c r="B14" s="13" t="s">
        <x:v>130</x:v>
      </x:c>
      <x:c r="C14" s="13">
        <x:v>0.78</x:v>
      </x:c>
      <x:c r="D14" s="13">
        <x:v>120</x:v>
      </x:c>
      <x:c r="E14" s="13">
        <x:v>8</x:v>
      </x:c>
      <x:c r="F14" s="13">
        <x:v>0</x:v>
      </x:c>
      <x:c r="G14" s="13">
        <x:v>2</x:v>
      </x:c>
      <x:c r="H14" s="13">
        <x:v>0</x:v>
      </x:c>
      <x:c r="I14" s="13" t="s">
        <x:v>234</x:v>
      </x:c>
      <x:c r="J14" s="13" t="s">
        <x:v>185</x:v>
      </x:c>
    </x:row>
    <x:row r="15">
      <x:c r="A15" s="13">
        <x:v>2024</x:v>
      </x:c>
      <x:c r="B15" s="13" t="s">
        <x:v>133</x:v>
      </x:c>
      <x:c r="C15" s="13">
        <x:v>0.86</x:v>
      </x:c>
      <x:c r="D15" s="13">
        <x:v>420</x:v>
      </x:c>
      <x:c r="E15" s="13">
        <x:v>24</x:v>
      </x:c>
      <x:c r="F15" s="13">
        <x:v>2</x:v>
      </x:c>
      <x:c r="G15" s="13">
        <x:v>8</x:v>
      </x:c>
      <x:c r="H15" s="13">
        <x:v>1</x:v>
      </x:c>
      <x:c r="I15" s="13" t="s">
        <x:v>235</x:v>
      </x:c>
      <x:c r="J15" s="13" t="s">
        <x:v>185</x:v>
      </x:c>
    </x:row>
    <x:row r="16">
      <x:c r="A16" s="13">
        <x:v>2024</x:v>
      </x:c>
      <x:c r="B16" s="13" t="s">
        <x:v>143</x:v>
      </x:c>
      <x:c r="C16" s="13">
        <x:v>0.88</x:v>
      </x:c>
      <x:c r="D16" s="13">
        <x:v>360</x:v>
      </x:c>
      <x:c r="E16" s="13">
        <x:v>20</x:v>
      </x:c>
      <x:c r="F16" s="13">
        <x:v>1</x:v>
      </x:c>
      <x:c r="G16" s="13">
        <x:v>6</x:v>
      </x:c>
      <x:c r="H16" s="13">
        <x:v>1</x:v>
      </x:c>
      <x:c r="I16" s="13" t="s">
        <x:v>235</x:v>
      </x:c>
      <x:c r="J16" s="13" t="s">
        <x:v>185</x:v>
      </x:c>
    </x:row>
    <x:row r="17">
      <x:c r="A17" s="13">
        <x:v>2024</x:v>
      </x:c>
      <x:c r="B17" s="13" t="s">
        <x:v>136</x:v>
      </x:c>
      <x:c r="C17" s="13">
        <x:v>0.7</x:v>
      </x:c>
      <x:c r="D17" s="13">
        <x:v>60</x:v>
      </x:c>
      <x:c r="E17" s="13">
        <x:v>3</x:v>
      </x:c>
      <x:c r="F17" s="13">
        <x:v>0</x:v>
      </x:c>
      <x:c r="G17" s="13">
        <x:v>1</x:v>
      </x:c>
      <x:c r="H17" s="13">
        <x:v>0</x:v>
      </x:c>
      <x:c r="I17" s="13" t="s">
        <x:v>236</x:v>
      </x:c>
      <x:c r="J17" s="13" t="s">
        <x:v>185</x:v>
      </x:c>
    </x:row>
    <x:row r="18">
      <x:c r="A18" s="13">
        <x:v>2025</x:v>
      </x:c>
      <x:c r="B18" s="13" t="s">
        <x:v>130</x:v>
      </x:c>
      <x:c r="C18" s="13">
        <x:v>0.78</x:v>
      </x:c>
      <x:c r="D18" s="13">
        <x:v>120</x:v>
      </x:c>
      <x:c r="E18" s="13">
        <x:v>8</x:v>
      </x:c>
      <x:c r="F18" s="13">
        <x:v>0</x:v>
      </x:c>
      <x:c r="G18" s="13">
        <x:v>2</x:v>
      </x:c>
      <x:c r="H18" s="13">
        <x:v>0</x:v>
      </x:c>
      <x:c r="I18" s="13" t="s">
        <x:v>234</x:v>
      </x:c>
      <x:c r="J18" s="13" t="s">
        <x:v>185</x:v>
      </x:c>
    </x:row>
    <x:row r="19">
      <x:c r="A19" s="13">
        <x:v>2025</x:v>
      </x:c>
      <x:c r="B19" s="13" t="s">
        <x:v>133</x:v>
      </x:c>
      <x:c r="C19" s="13">
        <x:v>0.86</x:v>
      </x:c>
      <x:c r="D19" s="13">
        <x:v>420</x:v>
      </x:c>
      <x:c r="E19" s="13">
        <x:v>24</x:v>
      </x:c>
      <x:c r="F19" s="13">
        <x:v>2</x:v>
      </x:c>
      <x:c r="G19" s="13">
        <x:v>8</x:v>
      </x:c>
      <x:c r="H19" s="13">
        <x:v>1</x:v>
      </x:c>
      <x:c r="I19" s="13" t="s">
        <x:v>235</x:v>
      </x:c>
      <x:c r="J19" s="13" t="s">
        <x:v>185</x:v>
      </x:c>
    </x:row>
    <x:row r="20">
      <x:c r="A20" s="13">
        <x:v>2025</x:v>
      </x:c>
      <x:c r="B20" s="13" t="s">
        <x:v>143</x:v>
      </x:c>
      <x:c r="C20" s="13">
        <x:v>0.88</x:v>
      </x:c>
      <x:c r="D20" s="13">
        <x:v>360</x:v>
      </x:c>
      <x:c r="E20" s="13">
        <x:v>20</x:v>
      </x:c>
      <x:c r="F20" s="13">
        <x:v>1</x:v>
      </x:c>
      <x:c r="G20" s="13">
        <x:v>6</x:v>
      </x:c>
      <x:c r="H20" s="13">
        <x:v>1</x:v>
      </x:c>
      <x:c r="I20" s="13" t="s">
        <x:v>235</x:v>
      </x:c>
      <x:c r="J20" s="13" t="s">
        <x:v>185</x:v>
      </x:c>
    </x:row>
    <x:row r="21">
      <x:c r="A21" s="13">
        <x:v>2025</x:v>
      </x:c>
      <x:c r="B21" s="13" t="s">
        <x:v>136</x:v>
      </x:c>
      <x:c r="C21" s="13">
        <x:v>0.7</x:v>
      </x:c>
      <x:c r="D21" s="13">
        <x:v>60</x:v>
      </x:c>
      <x:c r="E21" s="13">
        <x:v>3</x:v>
      </x:c>
      <x:c r="F21" s="13">
        <x:v>0</x:v>
      </x:c>
      <x:c r="G21" s="13">
        <x:v>1</x:v>
      </x:c>
      <x:c r="H21" s="13">
        <x:v>0</x:v>
      </x:c>
      <x:c r="I21" s="13" t="s">
        <x:v>236</x:v>
      </x:c>
      <x:c r="J21" s="13" t="s">
        <x:v>185</x:v>
      </x:c>
    </x:row>
    <x:row r="22">
      <x:c r="A22" s="13">
        <x:v>2026</x:v>
      </x:c>
      <x:c r="B22" s="13" t="s">
        <x:v>130</x:v>
      </x:c>
      <x:c r="C22" s="13">
        <x:v>0.8</x:v>
      </x:c>
      <x:c r="D22" s="13">
        <x:v>140</x:v>
      </x:c>
      <x:c r="E22" s="13">
        <x:v>9</x:v>
      </x:c>
      <x:c r="F22" s="13">
        <x:v>0</x:v>
      </x:c>
      <x:c r="G22" s="13">
        <x:v>2</x:v>
      </x:c>
      <x:c r="H22" s="13">
        <x:v>0</x:v>
      </x:c>
      <x:c r="I22" s="13" t="s">
        <x:v>234</x:v>
      </x:c>
      <x:c r="J22" s="13" t="s">
        <x:v>188</x:v>
      </x:c>
    </x:row>
    <x:row r="23">
      <x:c r="A23" s="13">
        <x:v>2026</x:v>
      </x:c>
      <x:c r="B23" s="13" t="s">
        <x:v>133</x:v>
      </x:c>
      <x:c r="C23" s="13">
        <x:v>0.87</x:v>
      </x:c>
      <x:c r="D23" s="13">
        <x:v>460</x:v>
      </x:c>
      <x:c r="E23" s="13">
        <x:v>26</x:v>
      </x:c>
      <x:c r="F23" s="13">
        <x:v>2</x:v>
      </x:c>
      <x:c r="G23" s="13">
        <x:v>9</x:v>
      </x:c>
      <x:c r="H23" s="13">
        <x:v>1</x:v>
      </x:c>
      <x:c r="I23" s="13" t="s">
        <x:v>235</x:v>
      </x:c>
      <x:c r="J23" s="13" t="s">
        <x:v>188</x:v>
      </x:c>
    </x:row>
    <x:row r="24">
      <x:c r="A24" s="13">
        <x:v>2026</x:v>
      </x:c>
      <x:c r="B24" s="13" t="s">
        <x:v>143</x:v>
      </x:c>
      <x:c r="C24" s="13">
        <x:v>0.89</x:v>
      </x:c>
      <x:c r="D24" s="13">
        <x:v>390</x:v>
      </x:c>
      <x:c r="E24" s="13">
        <x:v>22</x:v>
      </x:c>
      <x:c r="F24" s="13">
        <x:v>1</x:v>
      </x:c>
      <x:c r="G24" s="13">
        <x:v>7</x:v>
      </x:c>
      <x:c r="H24" s="13">
        <x:v>1</x:v>
      </x:c>
      <x:c r="I24" s="13" t="s">
        <x:v>235</x:v>
      </x:c>
      <x:c r="J24" s="13" t="s">
        <x:v>188</x:v>
      </x:c>
    </x:row>
    <x:row r="25">
      <x:c r="A25" s="13">
        <x:v>2026</x:v>
      </x:c>
      <x:c r="B25" s="13" t="s">
        <x:v>136</x:v>
      </x:c>
      <x:c r="C25" s="13">
        <x:v>0.71</x:v>
      </x:c>
      <x:c r="D25" s="13">
        <x:v>70</x:v>
      </x:c>
      <x:c r="E25" s="13">
        <x:v>3</x:v>
      </x:c>
      <x:c r="F25" s="13">
        <x:v>0</x:v>
      </x:c>
      <x:c r="G25" s="13">
        <x:v>1</x:v>
      </x:c>
      <x:c r="H25" s="13">
        <x:v>0</x:v>
      </x:c>
      <x:c r="I25" s="13" t="s">
        <x:v>236</x:v>
      </x:c>
      <x:c r="J25" s="13" t="s">
        <x:v>188</x:v>
      </x:c>
    </x:row>
  </x:sheetData>
  <x:dataValidations count="1">
    <x:dataValidation type="list" sqref="I2:I500">
      <x:formula1>"Low,Medium,High,Critical"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85c099552494877"/>
  </x:tableParts>
</x:worksheet>
</file>

<file path=xl/worksheets/sheet14.xml><?xml version="1.0" encoding="utf-8"?>
<x:worksheet xmlns:x="http://schemas.openxmlformats.org/spreadsheetml/2006/main">
  <x:sheetFormatPr defaultRowHeight="14.25"/>
  <x:cols>
    <x:col min="1" max="1" width="26" hidden="0" customWidth="1"/>
    <x:col min="2" max="2" width="60" hidden="0" customWidth="1"/>
  </x:cols>
  <x:sheetData>
    <x:row r="1" ht="24" customHeight="1">
      <x:c r="A1" s="78" t="str">
        <x:v>SEP V4 Executive Summary</x:v>
      </x:c>
      <x:c r="B1" s="79" t="str">
        <x:v>Calculated dynamically in Streamlit</x:v>
      </x:c>
    </x:row>
    <x:row r="2">
      <x:c r="A2" t="str">
        <x:v>App file</x:v>
      </x:c>
      <x:c r="B2" t="str">
        <x:v>sep_v4_app.py</x:v>
      </x:c>
    </x:row>
    <x:row r="3" ht="15">
      <x:c r="A3" s="3" t="str">
        <x:v>Default workbook</x:v>
      </x:c>
      <x:c r="B3" s="3" t="str">
        <x:v>SEP_V4_Executive_Platform_Template.xlsx</x:v>
      </x:c>
    </x:row>
    <x:row r="4">
      <x:c r="A4" s="2" t="str">
        <x:v>Note</x:v>
      </x:c>
      <x:c r="B4" s="7" t="str">
        <x:v>This sheet is intentionally static to avoid stale formula errors.</x:v>
      </x:c>
    </x:row>
    <x:row r="5">
      <x:c r="A5" s="2"/>
      <x:c r="B5" s="7"/>
    </x:row>
    <x:row r="6">
      <x:c r="A6" s="2"/>
      <x:c r="B6" s="4"/>
    </x:row>
    <x:row r="7">
      <x:c r="A7" s="2"/>
      <x:c r="B7" s="8"/>
    </x:row>
    <x:row r="8">
      <x:c r="A8" s="2"/>
      <x:c r="B8" s="7"/>
    </x:row>
    <x:row r="9">
      <x:c r="A9" s="2"/>
      <x:c r="B9" s="7"/>
    </x:row>
    <x:row r="10">
      <x:c r="A10" s="2"/>
      <x:c r="B10" s="4"/>
    </x:row>
    <x:row r="11" ht="15">
      <x:c r="A11" s="2"/>
      <x:c r="B11" s="9"/>
    </x:row>
    <x:row r="12" ht="15">
      <x:c r="A12" s="2"/>
      <x:c r="B12" s="9"/>
    </x:row>
  </x:sheetData>
  <x:conditionalFormatting sqref="B6:B6">
    <x:cfRule type="cellIs" dxfId="1" priority="1" operator="lessThan">
      <x:formula>0.25</x:formula>
    </x:cfRule>
  </x:conditionalFormatting>
  <x:conditionalFormatting sqref="B10:B10">
    <x:cfRule type="cellIs" dxfId="0" priority="2" operator="greaterThan">
      <x:formula>0.09</x:formula>
    </x:cfRule>
  </x:conditionalFormatting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FormatPr defaultRowHeight="14.25"/>
  <x:cols>
    <x:col min="1" max="1" width="12" customWidth="1"/>
    <x:col min="2" max="2" width="18" customWidth="1"/>
    <x:col min="3" max="3" width="16" customWidth="1"/>
    <x:col min="4" max="4" width="20" customWidth="1"/>
    <x:col min="5" max="5" width="22" customWidth="1"/>
    <x:col min="6" max="6" width="18" customWidth="1"/>
    <x:col min="7" max="7" width="68" customWidth="1"/>
  </x:cols>
  <x:sheetData>
    <x:row r="1" ht="15">
      <x:c r="A1" s="16" t="s">
        <x:v>172</x:v>
      </x:c>
      <x:c r="B1" s="16" t="s">
        <x:v>237</x:v>
      </x:c>
      <x:c r="C1" s="16" t="s">
        <x:v>238</x:v>
      </x:c>
      <x:c r="D1" s="16" t="s">
        <x:v>239</x:v>
      </x:c>
      <x:c r="E1" s="17" t="s">
        <x:v>240</x:v>
      </x:c>
      <x:c r="F1" s="16" t="s">
        <x:v>241</x:v>
      </x:c>
      <x:c r="G1" s="16" t="s">
        <x:v>50</x:v>
      </x:c>
    </x:row>
    <x:row r="2">
      <x:c r="A2" s="14">
        <x:v>2021</x:v>
      </x:c>
      <x:c r="B2" s="14">
        <x:v>12</x:v>
      </x:c>
      <x:c r="C2" s="14" t="s">
        <x:v>242</x:v>
      </x:c>
      <x:c r="D2" s="14" t="s">
        <x:v>243</x:v>
      </x:c>
      <x:c r="E2" s="14" t="n">
        <x:f t="shared" ref="E2:E5" si="0">IF(B2&gt;0,12/B2,"")</x:f>
        <x:v>1</x:v>
      </x:c>
      <x:c r="F2" s="14" t="s">
        <x:v>235</x:v>
      </x:c>
      <x:c r="G2" s="14" t="s">
        <x:v>244</x:v>
      </x:c>
    </x:row>
    <x:row r="3">
      <x:c r="A3" s="14">
        <x:v>2022</x:v>
      </x:c>
      <x:c r="B3" s="14">
        <x:v>12</x:v>
      </x:c>
      <x:c r="C3" s="14" t="s">
        <x:v>242</x:v>
      </x:c>
      <x:c r="D3" s="14" t="s">
        <x:v>245</x:v>
      </x:c>
      <x:c r="E3" s="14">
        <x:f t="shared" si="0"/>
        <x:v>1</x:v>
      </x:c>
      <x:c r="F3" s="14" t="s">
        <x:v>235</x:v>
      </x:c>
      <x:c r="G3" s="14" t="s">
        <x:v>244</x:v>
      </x:c>
    </x:row>
    <x:row r="4">
      <x:c r="A4" s="14">
        <x:v>2023</x:v>
      </x:c>
      <x:c r="B4" s="14">
        <x:v>12</x:v>
      </x:c>
      <x:c r="C4" s="14" t="s">
        <x:v>242</x:v>
      </x:c>
      <x:c r="D4" s="14" t="s">
        <x:v>246</x:v>
      </x:c>
      <x:c r="E4" s="14">
        <x:f t="shared" si="0"/>
        <x:v>1</x:v>
      </x:c>
      <x:c r="F4" s="14" t="s">
        <x:v>235</x:v>
      </x:c>
      <x:c r="G4" s="14" t="s">
        <x:v>244</x:v>
      </x:c>
    </x:row>
    <x:row r="5">
      <x:c r="A5" s="14">
        <x:v>2024</x:v>
      </x:c>
      <x:c r="B5" s="14">
        <x:v>12</x:v>
      </x:c>
      <x:c r="C5" s="14" t="s">
        <x:v>242</x:v>
      </x:c>
      <x:c r="D5" s="14" t="s">
        <x:v>247</x:v>
      </x:c>
      <x:c r="E5" s="14">
        <x:f t="shared" si="0"/>
        <x:v>1</x:v>
      </x:c>
      <x:c r="F5" s="14" t="s">
        <x:v>235</x:v>
      </x:c>
      <x:c r="G5" s="14" t="s">
        <x:v>244</x:v>
      </x:c>
    </x:row>
    <x:row r="6">
      <x:c r="A6" s="14">
        <x:v>2025</x:v>
      </x:c>
      <x:c r="B6" s="14">
        <x:v>12</x:v>
      </x:c>
      <x:c r="C6" s="14" t="s">
        <x:v>248</x:v>
      </x:c>
      <x:c r="D6" s="14" t="s">
        <x:v>249</x:v>
      </x:c>
      <x:c r="E6" s="14">
        <x:v>2</x:v>
      </x:c>
      <x:c r="F6" s="14" t="s">
        <x:v>235</x:v>
      </x:c>
      <x:c r="G6" s="14" t="s">
        <x:v>244</x:v>
      </x:c>
    </x:row>
    <x:row r="7">
      <x:c r="A7" s="14">
        <x:v>2026</x:v>
      </x:c>
      <x:c r="B7" s="14">
        <x:v>6</x:v>
      </x:c>
      <x:c r="C7" s="14" t="s">
        <x:v>248</x:v>
      </x:c>
      <x:c r="D7" s="14" t="s">
        <x:v>250</x:v>
      </x:c>
      <x:c r="E7" s="14">
        <x:v>3</x:v>
      </x:c>
      <x:c r="F7" s="14" t="s">
        <x:v>234</x:v>
      </x:c>
      <x:c r="G7" s="14" t="s">
        <x:v>251</x:v>
      </x:c>
    </x:row>
  </x:sheetData>
  <x:dataValidations count="2">
    <x:dataValidation type="list" sqref="C2:C100">
      <x:formula1>"FY,YTD"</x:formula1>
    </x:dataValidation>
    <x:dataValidation type="list" sqref="F2:F100">
      <x:formula1>"High,Medium,Low"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6d8a0d91a4e4297"/>
  </x:tableParts>
</x:worksheet>
</file>

<file path=xl/worksheets/sheet16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42" hidden="0" customWidth="1"/>
    <x:col min="3" max="3" width="56" hidden="0" customWidth="1"/>
    <x:col min="4" max="4" width="44" hidden="0" customWidth="1"/>
  </x:cols>
  <x:sheetData>
    <x:row r="1">
      <x:c r="A1" s="41" t="str">
        <x:v>Section</x:v>
      </x:c>
      <x:c r="B1" s="41" t="str">
        <x:v>Purpose</x:v>
      </x:c>
      <x:c r="C1" s="41" t="str">
        <x:v>How to Present</x:v>
      </x:c>
      <x:c r="D1" s="41" t="str">
        <x:v>Board Question Answered</x:v>
      </x:c>
    </x:row>
    <x:row r="2">
      <x:c r="A2" s="47" t="str">
        <x:v>Management Insight Engine</x:v>
      </x:c>
      <x:c r="B2" s="47" t="str">
        <x:v>Menjelaskan mengapa KPI berubah.</x:v>
      </x:c>
      <x:c r="C2" s="47" t="str">
        <x:v>Bacakan 2-3 insight utama: revenue vs HC, MCR vs capacity, margin quality.</x:v>
      </x:c>
      <x:c r="D2" s="47" t="str">
        <x:v>Kenapa angka bergerak seperti ini?</x:v>
      </x:c>
    </x:row>
    <x:row r="3">
      <x:c r="A3" s="47" t="str">
        <x:v>Hiring Decision Engine</x:v>
      </x:c>
      <x:c r="B3" s="47" t="str">
        <x:v>Memberi rekomendasi Hire/Hold/Freeze per department.</x:v>
      </x:c>
      <x:c r="C3" s="47" t="str">
        <x:v>Tunjukkan fungsi yang direkomendasikan HIRE dan alasan bottleneck-nya.</x:v>
      </x:c>
      <x:c r="D3" s="47" t="str">
        <x:v>Apakah kita perlu tambah orang? Di fungsi mana?</x:v>
      </x:c>
    </x:row>
    <x:row r="4">
      <x:c r="A4" s="47" t="str">
        <x:v>Scenario Simulator Plus</x:v>
      </x:c>
      <x:c r="B4" s="47" t="str">
        <x:v>Menghitung dampak tambahan HC dan revenue growth terhadap MCR/RPE.</x:v>
      </x:c>
      <x:c r="C4" s="47" t="str">
        <x:v>Gunakan slider untuk simulasi keputusan hiring sebelum disetujui.</x:v>
      </x:c>
      <x:c r="D4" s="47" t="str">
        <x:v>Kalau tambah orang, MCR jadi berapa?</x:v>
      </x:c>
    </x:row>
    <x:row r="5">
      <x:c r="A5" s="47" t="str">
        <x:v>CEO One-Page</x:v>
      </x:c>
      <x:c r="B5" s="47" t="str">
        <x:v>Ringkasan satu halaman untuk CEO/Direksi.</x:v>
      </x:c>
      <x:c r="C5" s="47" t="str">
        <x:v>Gunakan sebagai slide pembuka/penutup.</x:v>
      </x:c>
      <x:c r="D5" s="47" t="str">
        <x:v>Apa kondisi perusahaan secara cepat?</x:v>
      </x:c>
    </x:row>
    <x:row r="6">
      <x:c r="A6" s="47" t="str">
        <x:v>12-Month Roadmap</x:v>
      </x:c>
      <x:c r="B6" s="47" t="str">
        <x:v>Prioritas aksi 0-3, 3-6, dan 6-12 bulan.</x:v>
      </x:c>
      <x:c r="C6" s="47" t="str">
        <x:v>Jadikan rencana tindak lanjut setelah presentasi.</x:v>
      </x:c>
      <x:c r="D6" s="47" t="str">
        <x:v>Apa yang harus dilakukan 12 bulan ke depan?</x:v>
      </x:c>
    </x:row>
    <x:row r="7">
      <x:c r="A7" s="47" t="str">
        <x:v>Executive Closing Report</x:v>
      </x:c>
      <x:c r="B7" s="47" t="str">
        <x:v>Kesimpulan akhir siap dibacakan.</x:v>
      </x:c>
      <x:c r="C7" s="47" t="str">
        <x:v>Baca sebagai closing statement rapat.</x:v>
      </x:c>
      <x:c r="D7" s="47" t="str">
        <x:v>Keputusan akhir apa yang direkomendasikan?</x:v>
      </x:c>
    </x:row>
    <x:row r="8">
      <x:c r="A8" s="47" t="str"/>
      <x:c r="B8" s="47" t="str"/>
      <x:c r="C8" s="47" t="str"/>
      <x:c r="D8" s="47" t="str"/>
    </x:row>
    <x:row r="9">
      <x:c r="A9" s="41" t="str">
        <x:v>Input/Data yang Mempengaruhi Engine</x:v>
      </x:c>
      <x:c r="B9" s="41" t="str">
        <x:v>Sheet</x:v>
      </x:c>
      <x:c r="C9" s="41" t="str">
        <x:v>Kolom Penting</x:v>
      </x:c>
      <x:c r="D9" s="41" t="str">
        <x:v>Catatan</x:v>
      </x:c>
    </x:row>
    <x:row r="10">
      <x:c r="A10" s="47" t="str">
        <x:v>Capacity Risk</x:v>
      </x:c>
      <x:c r="B10" s="47" t="str">
        <x:v>CAPACITY_INDICATOR</x:v>
      </x:c>
      <x:c r="C10" s="47" t="str">
        <x:v>Avg_Utilization_Pct, Overtime_Hours, Backlog_Count, SLA_Breach_Count</x:v>
      </x:c>
      <x:c r="D10" s="47" t="str">
        <x:v>Semakin lengkap data ini, semakin akurat Hiring Decision.</x:v>
      </x:c>
    </x:row>
    <x:row r="11">
      <x:c r="A11" s="47" t="str">
        <x:v>Department Productivity</x:v>
      </x:c>
      <x:c r="B11" s="47" t="str">
        <x:v>REVENUE_BY_DEPT + PAYROLL_YR + HEADCOUNT_YR</x:v>
      </x:c>
      <x:c r="C11" s="47" t="str">
        <x:v>Dept_Revenue, Manpower_Cost, Headcount</x:v>
      </x:c>
      <x:c r="D11" s="47" t="str">
        <x:v>Jika REVENUE_BY_DEPT kosong, rekomendasi memakai sinyal capacity/headcount.</x:v>
      </x:c>
    </x:row>
    <x:row r="12">
      <x:c r="A12" s="47" t="str">
        <x:v>MCR Guardrail</x:v>
      </x:c>
      <x:c r="B12" s="47" t="str">
        <x:v>TARGETS</x:v>
      </x:c>
      <x:c r="C12" s="47" t="str">
        <x:v>MCR_Healthy_Max</x:v>
      </x:c>
      <x:c r="D12" s="47" t="str">
        <x:v>Default healthy max 7%.</x:v>
      </x:c>
    </x:row>
    <x:row r="13">
      <x:c r="A13" s="47" t="str">
        <x:v>Scenario Simulator</x:v>
      </x:c>
      <x:c r="B13" s="47" t="str">
        <x:v>PAYROLL_YR + HEADCOUNT_YR</x:v>
      </x:c>
      <x:c r="C13" s="47" t="str">
        <x:v>Cost_per_HC, Total_Manpower_Cost</x:v>
      </x:c>
      <x:c r="D13" s="47" t="str">
        <x:v>Avg cost dapat diubah manual di dashboard.</x:v>
      </x:c>
    </x:row>
  </x:sheetData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32" hidden="0" customWidth="1"/>
    <x:col min="3" max="3" width="46" hidden="0" customWidth="1"/>
    <x:col min="4" max="4" width="60" hidden="0" customWidth="1"/>
  </x:cols>
  <x:sheetData>
    <x:row r="1">
      <x:c r="A1" s="63" t="str">
        <x:v>Dashboard Area</x:v>
      </x:c>
      <x:c r="B1" s="63" t="str">
        <x:v>Visual Added</x:v>
      </x:c>
      <x:c r="C1" s="63" t="str">
        <x:v>Purpose</x:v>
      </x:c>
      <x:c r="D1" s="63" t="str">
        <x:v>How to Present</x:v>
      </x:c>
    </x:row>
    <x:row r="2">
      <x:c r="A2" s="64" t="str">
        <x:v>Management Insight Engine</x:v>
      </x:c>
      <x:c r="B2" s="64" t="str">
        <x:v>KPI Movement Driver chart</x:v>
      </x:c>
      <x:c r="C2" s="64" t="str">
        <x:v>Melihat KPI mana yang mendorong perubahan.</x:v>
      </x:c>
      <x:c r="D2" s="64" t="str">
        <x:v>Tunjukkan apakah Revenue, HC, RPE, MCR, atau GM yang paling mempengaruhi narasi.</x:v>
      </x:c>
    </x:row>
    <x:row r="3">
      <x:c r="A3" s="64" t="str">
        <x:v>Management Insight Engine</x:v>
      </x:c>
      <x:c r="B3" s="64" t="str">
        <x:v>Management Attention Map</x:v>
      </x:c>
      <x:c r="C3" s="64" t="str">
        <x:v>Memprioritaskan area yang harus dibahas Direksi.</x:v>
      </x:c>
      <x:c r="D3" s="64" t="str">
        <x:v>Fokus pada bar paling tinggi terlebih dahulu.</x:v>
      </x:c>
    </x:row>
    <x:row r="4">
      <x:c r="A4" s="64" t="str">
        <x:v>Hiring Decision Engine</x:v>
      </x:c>
      <x:c r="B4" s="64" t="str">
        <x:v>Hiring Decision Count</x:v>
      </x:c>
      <x:c r="C4" s="64" t="str">
        <x:v>Melihat jumlah departemen yang HIRE/HOLD/FREEZE/SELECTIVE.</x:v>
      </x:c>
      <x:c r="D4" s="64" t="str">
        <x:v>Gunakan sebagai ringkasan kebijakan hiring.</x:v>
      </x:c>
    </x:row>
    <x:row r="5">
      <x:c r="A5" s="64" t="str">
        <x:v>Hiring Decision Engine</x:v>
      </x:c>
      <x:c r="B5" s="64" t="str">
        <x:v>Hiring Priority Map</x:v>
      </x:c>
      <x:c r="C5" s="64" t="str">
        <x:v>Membaca hubungan utilization vs revenue per cost.</x:v>
      </x:c>
      <x:c r="D5" s="64" t="str">
        <x:v>Area utilization tinggi + revenue per cost baik layak jadi prioritas hiring.</x:v>
      </x:c>
    </x:row>
    <x:row r="6">
      <x:c r="A6" s="64" t="str">
        <x:v>Scenario Simulator Plus</x:v>
      </x:c>
      <x:c r="B6" s="64" t="str">
        <x:v>MCR Sensitivity line</x:v>
      </x:c>
      <x:c r="C6" s="64" t="str">
        <x:v>Menunjukkan dampak tambahan HC terhadap MCR.</x:v>
      </x:c>
      <x:c r="D6" s="64" t="str">
        <x:v>Gunakan untuk menjawab berapa HC tambahan yang masih aman.</x:v>
      </x:c>
    </x:row>
    <x:row r="7">
      <x:c r="A7" s="64" t="str">
        <x:v>Scenario Simulator Plus</x:v>
      </x:c>
      <x:c r="B7" s="64" t="str">
        <x:v>RPE Sensitivity line</x:v>
      </x:c>
      <x:c r="C7" s="64" t="str">
        <x:v>Menunjukkan dampak tambahan HC terhadap produktivitas.</x:v>
      </x:c>
      <x:c r="D7" s="64" t="str">
        <x:v>Jika RPE turun tajam, hiring harus ditahan atau revenue uplift harus lebih besar.</x:v>
      </x:c>
    </x:row>
    <x:row r="8">
      <x:c r="A8" s="64" t="str">
        <x:v>CEO One-Page</x:v>
      </x:c>
      <x:c r="B8" s="64" t="str">
        <x:v>Board Score Gauge</x:v>
      </x:c>
      <x:c r="C8" s="64" t="str">
        <x:v>Satu angka status perusahaan untuk CEO.</x:v>
      </x:c>
      <x:c r="D8" s="64" t="str">
        <x:v>Gunakan sebagai opening/closing slide.</x:v>
      </x:c>
    </x:row>
    <x:row r="9">
      <x:c r="A9" s="64" t="str">
        <x:v>CEO One-Page</x:v>
      </x:c>
      <x:c r="B9" s="64" t="str">
        <x:v>CEO Health Snapshot</x:v>
      </x:c>
      <x:c r="C9" s="64" t="str">
        <x:v>Meringkas score tiap komponen utama.</x:v>
      </x:c>
      <x:c r="D9" s="64" t="str">
        <x:v>Tunjukkan area yang kuat dan yang melemah.</x:v>
      </x:c>
    </x:row>
    <x:row r="10">
      <x:c r="A10" s="64" t="str">
        <x:v>Executive Closing</x:v>
      </x:c>
      <x:c r="B10" s="64" t="str">
        <x:v>Executive Closing Priority</x:v>
      </x:c>
      <x:c r="C10" s="64" t="str">
        <x:v>Menutup rapat dengan prioritas keputusan.</x:v>
      </x:c>
      <x:c r="D10" s="64" t="str">
        <x:v>Bacakan 3 prioritas tertinggi.</x:v>
      </x:c>
    </x:row>
    <x:row r="11">
      <x:c r="A11" s="64" t="str">
        <x:v>Executive Closing</x:v>
      </x:c>
      <x:c r="B11" s="64" t="str">
        <x:v>Roadmap Priority Mix</x:v>
      </x:c>
      <x:c r="C11" s="64" t="str">
        <x:v>Melihat bobot prioritas roadmap.</x:v>
      </x:c>
      <x:c r="D11" s="64" t="str">
        <x:v>Tunjukkan apakah action plan lebih banyak critical/high/medium.</x:v>
      </x:c>
    </x:row>
  </x:sheetData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44" hidden="0" customWidth="1"/>
    <x:col min="3" max="3" width="42" hidden="0" customWidth="1"/>
    <x:col min="4" max="4" width="58" hidden="0" customWidth="1"/>
  </x:cols>
  <x:sheetData>
    <x:row r="1">
      <x:c r="A1" s="79" t="str">
        <x:v>SEP V4 Module</x:v>
      </x:c>
      <x:c r="B1" s="79" t="str">
        <x:v>Purpose</x:v>
      </x:c>
      <x:c r="C1" s="79" t="str">
        <x:v>Visual / Output</x:v>
      </x:c>
      <x:c r="D1" s="79" t="str">
        <x:v>Board Question Answered</x:v>
      </x:c>
    </x:row>
    <x:row r="2">
      <x:c r="A2" s="64" t="str">
        <x:v>Executive Cockpit</x:v>
      </x:c>
      <x:c r="B2" s="64" t="str">
        <x:v>Company Health Index dan Executive KPI Radar</x:v>
      </x:c>
      <x:c r="C2" s="64" t="str">
        <x:v>Gauge, radar, score bars</x:v>
      </x:c>
      <x:c r="D2" s="64" t="str">
        <x:v>Apakah perusahaan sehat secara revenue, people cost, margin, dan capacity?</x:v>
      </x:c>
    </x:row>
    <x:row r="3">
      <x:c r="A3" s="64" t="str">
        <x:v>Workforce Portfolio</x:v>
      </x:c>
      <x:c r="B3" s="64" t="str">
        <x:v>BCG-style manpower portfolio</x:v>
      </x:c>
      <x:c r="C3" s="64" t="str">
        <x:v>Portfolio matrix + portfolio mix</x:v>
      </x:c>
      <x:c r="D3" s="64" t="str">
        <x:v>Fungsi mana yang harus di-scale, di-review, atau di-automate?</x:v>
      </x:c>
    </x:row>
    <x:row r="4">
      <x:c r="A4" s="64" t="str">
        <x:v>Risk &amp; Decision Matrix</x:v>
      </x:c>
      <x:c r="B4" s="64" t="str">
        <x:v>Prioritisasi risiko dan keputusan</x:v>
      </x:c>
      <x:c r="C4" s="64" t="str">
        <x:v>Risk matrix + decision cards</x:v>
      </x:c>
      <x:c r="D4" s="64" t="str">
        <x:v>Keputusan apa yang harus diambil Board?</x:v>
      </x:c>
    </x:row>
    <x:row r="5">
      <x:c r="A5" s="64" t="str">
        <x:v>Presentation Mode</x:v>
      </x:c>
      <x:c r="B5" s="64" t="str">
        <x:v>Alur presentasi Direksi</x:v>
      </x:c>
      <x:c r="C5" s="64" t="str">
        <x:v>Slide flow table + duration chart</x:v>
      </x:c>
      <x:c r="D5" s="64" t="str">
        <x:v>Bagaimana mempresentasikan dashboard ini secara runtut?</x:v>
      </x:c>
    </x:row>
    <x:row r="6">
      <x:c r="A6" s="64" t="str">
        <x:v>Executive Pack</x:v>
      </x:c>
      <x:c r="B6" s="64" t="str">
        <x:v>Closing message dan top decision</x:v>
      </x:c>
      <x:c r="C6" s="64" t="str">
        <x:v>Company health, board decision, top risk</x:v>
      </x:c>
      <x:c r="D6" s="64" t="str">
        <x:v>Apa kesimpulan akhir rapat?</x:v>
      </x:c>
    </x:row>
    <x:row r="7">
      <x:c r="A7" s="64" t="str"/>
      <x:c r="B7" s="64" t="str"/>
      <x:c r="C7" s="64" t="str"/>
      <x:c r="D7" s="64" t="str"/>
    </x:row>
    <x:row r="8">
      <x:c r="A8" s="79" t="str">
        <x:v>Analysis Mode</x:v>
      </x:c>
      <x:c r="B8" s="79" t="str">
        <x:v>Purpose</x:v>
      </x:c>
      <x:c r="C8" s="79" t="str">
        <x:v>When to Use</x:v>
      </x:c>
      <x:c r="D8" s="79" t="str">
        <x:v>Important Note</x:v>
      </x:c>
    </x:row>
    <x:row r="9">
      <x:c r="A9" s="64" t="str">
        <x:v>Actual</x:v>
      </x:c>
      <x:c r="B9" s="64" t="str">
        <x:v>Membaca angka sesuai input</x:v>
      </x:c>
      <x:c r="C9" s="64" t="str">
        <x:v>Untuk melihat realisasi apa adanya</x:v>
      </x:c>
      <x:c r="D9" s="64" t="str">
        <x:v>Tidak apple-to-apple jika YTD vs FY</x:v>
      </x:c>
    </x:row>
    <x:row r="10">
      <x:c r="A10" s="64" t="str">
        <x:v>YTD Comparable</x:v>
      </x:c>
      <x:c r="B10" s="64" t="str">
        <x:v>Menyamakan semua tahun ke basis bulan YTD</x:v>
      </x:c>
      <x:c r="C10" s="64" t="str">
        <x:v>Untuk membandingkan 2025 vs 2026 YTD</x:v>
      </x:c>
      <x:c r="D10" s="64" t="str">
        <x:v>Proxy jika data bulanan belum tersedia</x:v>
      </x:c>
    </x:row>
    <x:row r="11">
      <x:c r="A11" s="64" t="str">
        <x:v>Annual Projection</x:v>
      </x:c>
      <x:c r="B11" s="64" t="str">
        <x:v>Menyetahunkan YTD</x:v>
      </x:c>
      <x:c r="C11" s="64" t="str">
        <x:v>Untuk proyeksi FY berjalan</x:v>
      </x:c>
      <x:c r="D11" s="64" t="str">
        <x:v>Jika Months_Closed=4 maka x3</x:v>
      </x:c>
    </x:row>
    <x:row r="12">
      <x:c r="A12" s="64" t="str">
        <x:v>MCR Focus</x:v>
      </x:c>
      <x:c r="B12" s="64" t="str">
        <x:v>Revenue projected, cost actual/YTD</x:v>
      </x:c>
      <x:c r="C12" s="64" t="str">
        <x:v>Untuk stress-test MCR dan GM</x:v>
      </x:c>
      <x:c r="D12" s="64" t="str">
        <x:v>MCR dan GM akan berubah karena denominator berubah</x:v>
      </x:c>
    </x:row>
  </x:sheetData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8" hidden="0" customWidth="1"/>
    <x:col min="3" max="3" width="60" hidden="0" customWidth="1"/>
    <x:col min="4" max="4" width="36" hidden="0" customWidth="1"/>
    <x:col min="5" max="5" width="20" hidden="0" customWidth="1"/>
  </x:cols>
  <x:sheetData>
    <x:row r="1">
      <x:c r="A1" s="79" t="str">
        <x:v>Slide</x:v>
      </x:c>
      <x:c r="B1" s="79" t="str">
        <x:v>Title</x:v>
      </x:c>
      <x:c r="C1" s="79" t="str">
        <x:v>Key Message</x:v>
      </x:c>
      <x:c r="D1" s="79" t="str">
        <x:v>Visual</x:v>
      </x:c>
      <x:c r="E1" s="79" t="str">
        <x:v>Suggested Duration</x:v>
      </x:c>
    </x:row>
    <x:row r="2">
      <x:c r="A2" s="64" t="n">
        <x:v>1</x:v>
      </x:c>
      <x:c r="B2" s="64" t="str">
        <x:v>Executive Cockpit</x:v>
      </x:c>
      <x:c r="C2" s="64" t="str">
        <x:v>Company Health and Board Decision</x:v>
      </x:c>
      <x:c r="D2" s="64" t="str">
        <x:v>Gauge + KPI Radar</x:v>
      </x:c>
      <x:c r="E2" s="64" t="str">
        <x:v>3 min</x:v>
      </x:c>
    </x:row>
    <x:row r="3">
      <x:c r="A3" s="64" t="n">
        <x:v>2</x:v>
      </x:c>
      <x:c r="B3" s="64" t="str">
        <x:v>Revenue vs Manpower</x:v>
      </x:c>
      <x:c r="C3" s="64" t="str">
        <x:v>Revenue must grow faster than people cost</x:v>
      </x:c>
      <x:c r="D3" s="64" t="str">
        <x:v>Revenue vs manpower trend</x:v>
      </x:c>
      <x:c r="E3" s="64" t="str">
        <x:v>4 min</x:v>
      </x:c>
    </x:row>
    <x:row r="4">
      <x:c r="A4" s="64" t="n">
        <x:v>3</x:v>
      </x:c>
      <x:c r="B4" s="64" t="str">
        <x:v>MCR &amp; RPE</x:v>
      </x:c>
      <x:c r="C4" s="64" t="str">
        <x:v>Productivity must improve with HC</x:v>
      </x:c>
      <x:c r="D4" s="64" t="str">
        <x:v>MCR/RPE trend</x:v>
      </x:c>
      <x:c r="E4" s="64" t="str">
        <x:v>4 min</x:v>
      </x:c>
    </x:row>
    <x:row r="5">
      <x:c r="A5" s="64" t="n">
        <x:v>4</x:v>
      </x:c>
      <x:c r="B5" s="64" t="str">
        <x:v>Workforce Portfolio</x:v>
      </x:c>
      <x:c r="C5" s="64" t="str">
        <x:v>Decide scale/optimize/hold per function</x:v>
      </x:c>
      <x:c r="D5" s="64" t="str">
        <x:v>Portfolio matrix</x:v>
      </x:c>
      <x:c r="E5" s="64" t="str">
        <x:v>5 min</x:v>
      </x:c>
    </x:row>
    <x:row r="6">
      <x:c r="A6" s="64" t="n">
        <x:v>5</x:v>
      </x:c>
      <x:c r="B6" s="64" t="str">
        <x:v>Capacity &amp; Hiring</x:v>
      </x:c>
      <x:c r="C6" s="64" t="str">
        <x:v>Hiring only for proven bottlenecks</x:v>
      </x:c>
      <x:c r="D6" s="64" t="str">
        <x:v>Hiring priority map</x:v>
      </x:c>
      <x:c r="E6" s="64" t="str">
        <x:v>5 min</x:v>
      </x:c>
    </x:row>
    <x:row r="7">
      <x:c r="A7" s="64" t="n">
        <x:v>6</x:v>
      </x:c>
      <x:c r="B7" s="64" t="str">
        <x:v>Risk &amp; Decision</x:v>
      </x:c>
      <x:c r="C7" s="64" t="str">
        <x:v>Prioritize risks and Board decisions</x:v>
      </x:c>
      <x:c r="D7" s="64" t="str">
        <x:v>Risk matrix + decision cards</x:v>
      </x:c>
      <x:c r="E7" s="64" t="str">
        <x:v>5 min</x:v>
      </x:c>
    </x:row>
    <x:row r="8">
      <x:c r="A8" s="64" t="n">
        <x:v>7</x:v>
      </x:c>
      <x:c r="B8" s="64" t="str">
        <x:v>Executive Closing</x:v>
      </x:c>
      <x:c r="C8" s="64" t="str">
        <x:v>90-day and 12-month actions</x:v>
      </x:c>
      <x:c r="D8" s="64" t="str">
        <x:v>Roadmap + closing statement</x:v>
      </x:c>
      <x:c r="E8" s="64" t="str">
        <x:v>4 min</x:v>
      </x:c>
    </x:row>
  </x:sheetData>
  <x:pageMargins left="0.7" right="0.7" top="0.75" bottom="0.75" header="0.3" footer="0.3"/>
</x:worksheet>
</file>