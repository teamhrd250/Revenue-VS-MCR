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c9f69fc56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4970e680654d95"/>
    <x:sheet xmlns:r="http://schemas.openxmlformats.org/officeDocument/2006/relationships" name="PARAMETERS" sheetId="2" r:id="R52bdff00f2ff44fa"/>
    <x:sheet xmlns:r="http://schemas.openxmlformats.org/officeDocument/2006/relationships" name="TARGETS" sheetId="3" r:id="R480ab79f442a4848"/>
    <x:sheet xmlns:r="http://schemas.openxmlformats.org/officeDocument/2006/relationships" name="FJA_MAPPING" sheetId="4" r:id="Re99a5a101da34077"/>
    <x:sheet xmlns:r="http://schemas.openxmlformats.org/officeDocument/2006/relationships" name="DIM_DEPARTMENT" sheetId="5" r:id="R1aed2e0a37ec44d0"/>
    <x:sheet xmlns:r="http://schemas.openxmlformats.org/officeDocument/2006/relationships" name="DIM_EMPLOYEE" sheetId="6" r:id="R33ffe408362a4a98"/>
    <x:sheet xmlns:r="http://schemas.openxmlformats.org/officeDocument/2006/relationships" name="REVENUE_YR" sheetId="7" r:id="R8676def999c04f99"/>
    <x:sheet xmlns:r="http://schemas.openxmlformats.org/officeDocument/2006/relationships" name="REVENUE_BY_DEPT" sheetId="8" r:id="Rb663595d6b9f4a02"/>
    <x:sheet xmlns:r="http://schemas.openxmlformats.org/officeDocument/2006/relationships" name="HEADCOUNT_YR" sheetId="9" r:id="Ra4a065980105419b"/>
    <x:sheet xmlns:r="http://schemas.openxmlformats.org/officeDocument/2006/relationships" name="PAYROLL_YR" sheetId="10" r:id="R82303c721c244c22"/>
    <x:sheet xmlns:r="http://schemas.openxmlformats.org/officeDocument/2006/relationships" name="HC_MOVEMENT" sheetId="11" r:id="R3a35690dd1a8412a"/>
    <x:sheet xmlns:r="http://schemas.openxmlformats.org/officeDocument/2006/relationships" name="PROJECT_MARGIN" sheetId="12" r:id="R27bbdad186a6478d"/>
    <x:sheet xmlns:r="http://schemas.openxmlformats.org/officeDocument/2006/relationships" name="CAPACITY_INDICATOR" sheetId="13" r:id="Rfe15c4acda11460c"/>
    <x:sheet xmlns:r="http://schemas.openxmlformats.org/officeDocument/2006/relationships" name="EXEC_SUMMARY" sheetId="14" r:id="R1b2e587ef5b64839"/>
    <x:sheet xmlns:r="http://schemas.openxmlformats.org/officeDocument/2006/relationships" name="CALENDAR" sheetId="15" r:id="R00a3e3972fff4608"/>
    <x:sheet xmlns:r="http://schemas.openxmlformats.org/officeDocument/2006/relationships" name="FINANCIALS" sheetId="16" r:id="R6b5d9488b1db48d3"/>
  </x:sheets>
</x:workbook>
</file>

<file path=xl/sharedStrings.xml><?xml version="1.0" encoding="utf-8"?>
<x:sst xmlns:x="http://schemas.openxmlformats.org/spreadsheetml/2006/main">
  <x:si>
    <x:t xml:space="preserve">HR vs Revenue Intelligence Platform v2 (Board &amp; CFO Edition)</x:t>
  </x:si>
  <x:si>
    <x:t xml:space="preserve">Tujuan template:</x:t>
  </x:si>
  <x:si>
    <x:t xml:space="preserve">1. Menjadi data model Excel untuk dashboard Streamlit HR vs Revenue Intelligence Platform v2.</x:t>
  </x:si>
  <x:si>
    <x:t xml:space="preserve">2. Menggabungkan analisis Revenue, Headcount, Payroll, Gross Margin, FJA, Capacity Risk, dan Board Decision Center.</x:t>
  </x:si>
  <x:si>
    <x:t xml:space="preserve">3. Data dapat diisi manual dari finance/HR/project control tanpa mengubah aplikasi Python.</x:t>
  </x:si>
  <x:si>
    <x:t xml:space="preserve">Alur pengisian:</x:t>
  </x:si>
  <x:si>
    <x:t xml:space="preserve">1. Isi PARAMETERS dan TARGETS.</x:t>
  </x:si>
  <x:si>
    <x:t xml:space="preserve">2. Isi DIM_DEPARTMENT dan FJA_MAPPING.</x:t>
  </x:si>
  <x:si>
    <x:t xml:space="preserve">3. Isi transaksi/tahunan: REVENUE_YR, REVENUE_BY_DEPT, HEADCOUNT_YR, PAYROLL_YR.</x:t>
  </x:si>
  <x:si>
    <x:t xml:space="preserve">- Capacity indicators seperti overtime, SLA breach, backlog, dan turnover membuat Capacity Risk lebih defensible di depan Board.</x:t>
  </x:si>
  <x:si>
    <x:t xml:space="preserve">- Semua nilai uang diisi dalam currency sesuai PARAMETERS.</x:t>
  </x:si>
  <x:si>
    <x:t xml:space="preserve">Update v2.1:</x:t>
  </x:si>
  <x:si>
    <x:t xml:space="preserve">Template sample data sudah diperpanjang sampai tahun 2026.</x:t>
  </x:si>
  <x:si>
    <x:t xml:space="preserve">Ganti angka sample dengan data aktual sebelum digunakan untuk Board/CFO review.</x:t>
  </x:si>
  <x:si>
    <x:t xml:space="preserve">YTD / Annualized Logic:</x:t>
  </x:si>
  <x:si>
    <x:t xml:space="preserve">- CALENDAR menentukan jumlah bulan yang sudah closing per tahun.</x:t>
  </x:si>
  <x:si>
    <x:t xml:space="preserve">- 2026 diset sebagai YTD Jun dengan Months_Closed = 6.</x:t>
  </x:si>
  <x:si>
    <x:t xml:space="preserve">- Dashboard Python v2.1 menyediakan Analysis Mode: Actual dan Annualized.</x:t>
  </x:si>
  <x:si>
    <x:t xml:space="preserve">- Annualized mode mengalikan Revenue, COGS, dan Manpower Cost dengan 12 / Months_Closed.</x:t>
  </x:si>
  <x:si>
    <x:t xml:space="preserve">- Headcount tidak dianualisasi karena digunakan sebagai average capacity.</x:t>
  </x:si>
  <x:si>
    <x:t xml:space="preserve">Parameter</x:t>
  </x:si>
  <x:si>
    <x:t xml:space="preserve">Value</x:t>
  </x:si>
  <x:si>
    <x:t xml:space="preserve">Description</x:t>
  </x:si>
  <x:si>
    <x:t xml:space="preserve">Company_Name</x:t>
  </x:si>
  <x:si>
    <x:t xml:space="preserve">Starcom Solusindo</x:t>
  </x:si>
  <x:si>
    <x:t xml:space="preserve">Nama perusahaan untuk header dashboard.</x:t>
  </x:si>
  <x:si>
    <x:t xml:space="preserve">Currency_Code</x:t>
  </x:si>
  <x:si>
    <x:t xml:space="preserve">IDR</x:t>
  </x:si>
  <x:si>
    <x:t xml:space="preserve">Kode mata uang dashboard.</x:t>
  </x:si>
  <x:si>
    <x:t xml:space="preserve">Start_Year</x:t>
  </x:si>
  <x:si>
    <x:t xml:space="preserve">Tahun awal analisis.</x:t>
  </x:si>
  <x:si>
    <x:t xml:space="preserve">End_Year</x:t>
  </x:si>
  <x:si>
    <x:t xml:space="preserve">Tahun akhir analisis.</x:t>
  </x:si>
  <x:si>
    <x:t xml:space="preserve">Dashboard_Mode</x:t>
  </x:si>
  <x:si>
    <x:t xml:space="preserve">YEARLY</x:t>
  </x:si>
  <x:si>
    <x:t xml:space="preserve">YEARLY untuk template ini.</x:t>
  </x:si>
  <x:si>
    <x:t xml:space="preserve">MCR_Healthy_Range</x:t>
  </x:si>
  <x:si>
    <x:t xml:space="preserve">5–7%</x:t>
  </x:si>
  <x:si>
    <x:t xml:space="preserve">Band final MCR sehat.</x:t>
  </x:si>
  <x:si>
    <x:t xml:space="preserve">Gross_Margin_Healthy_Min</x:t>
  </x:si>
  <x:si>
    <x:t xml:space="preserve">Minimum Gross Margin sehat.</x:t>
  </x:si>
  <x:si>
    <x:t xml:space="preserve">KPI</x:t>
  </x:si>
  <x:si>
    <x:t xml:space="preserve">Target_Value</x:t>
  </x:si>
  <x:si>
    <x:t xml:space="preserve">Unit</x:t>
  </x:si>
  <x:si>
    <x:t xml:space="preserve">Threshold_Band</x:t>
  </x:si>
  <x:si>
    <x:t xml:space="preserve">Board_Use</x:t>
  </x:si>
  <x:si>
    <x:t xml:space="preserve">Revenue_Growth_Min</x:t>
  </x:si>
  <x:si>
    <x:t xml:space="preserve">%</x:t>
  </x:si>
  <x:si>
    <x:t xml:space="preserve">&gt;=20% = strong growth</x:t>
  </x:si>
  <x:si>
    <x:t xml:space="preserve">Batas minimum pertumbuhan revenue yang dianggap kuat.</x:t>
  </x:si>
  <x:si>
    <x:t xml:space="preserve">RPE_Growth_Min</x:t>
  </x:si>
  <x:si>
    <x:t xml:space="preserve">&gt;=15% = productivity expansion</x:t>
  </x:si>
  <x:si>
    <x:t xml:space="preserve">Batas minimum pertumbuhan Revenue per Employee.</x:t>
  </x:si>
  <x:si>
    <x:t xml:space="preserve">Headcount_Growth_Max_High_Leverage</x:t>
  </x:si>
  <x:si>
    <x:t xml:space="preserve">&lt;=10% = HC controlled</x:t>
  </x:si>
  <x:si>
    <x:t xml:space="preserve">Batas HC growth agar growth tetap high leverage.</x:t>
  </x:si>
  <x:si>
    <x:t xml:space="preserve">MCR_Ultra_Efficiency_Max</x:t>
  </x:si>
  <x:si>
    <x:t xml:space="preserve">&lt;5% = Ultra Efficiency</x:t>
  </x:si>
  <x:si>
    <x:t xml:space="preserve">MCR sangat rendah; perlu validasi kapasitas.</x:t>
  </x:si>
  <x:si>
    <x:t xml:space="preserve">MCR_Healthy_Min</x:t>
  </x:si>
  <x:si>
    <x:t xml:space="preserve">5–7% = Healthy</x:t>
  </x:si>
  <x:si>
    <x:t xml:space="preserve">Batas bawah MCR sehat.</x:t>
  </x:si>
  <x:si>
    <x:t xml:space="preserve">MCR_Healthy_Max</x:t>
  </x:si>
  <x:si>
    <x:t xml:space="preserve">Batas atas MCR sehat.</x:t>
  </x:si>
  <x:si>
    <x:t xml:space="preserve">MCR_Watch_Max</x:t>
  </x:si>
  <x:si>
    <x:t xml:space="preserve">7–9% = Watch</x:t>
  </x:si>
  <x:si>
    <x:t xml:space="preserve">Zona pantau people-cost.</x:t>
  </x:si>
  <x:si>
    <x:t xml:space="preserve">MCR_Cost_Pressure_Max</x:t>
  </x:si>
  <x:si>
    <x:t xml:space="preserve">9–14% = Cost Pressure</x:t>
  </x:si>
  <x:si>
    <x:t xml:space="preserve">Zona tekanan biaya manpower.</x:t>
  </x:si>
  <x:si>
    <x:t xml:space="preserve">MCR_Critical_Min</x:t>
  </x:si>
  <x:si>
    <x:t xml:space="preserve">&gt;14% = Critical</x:t>
  </x:si>
  <x:si>
    <x:t xml:space="preserve">Level kritikal people-cost terhadap revenue.</x:t>
  </x:si>
  <x:si>
    <x:t xml:space="preserve">Gross_Margin_Strong_Min</x:t>
  </x:si>
  <x:si>
    <x:t xml:space="preserve">&gt;35% = Strong</x:t>
  </x:si>
  <x:si>
    <x:t xml:space="preserve">Margin sangat kuat.</x:t>
  </x:si>
  <x:si>
    <x:t xml:space="preserve">25–35% = Healthy</x:t>
  </x:si>
  <x:si>
    <x:t xml:space="preserve">Margin sehat.</x:t>
  </x:si>
  <x:si>
    <x:t xml:space="preserve">Gross_Margin_Watch_Min</x:t>
  </x:si>
  <x:si>
    <x:t xml:space="preserve">15–25% = Watch</x:t>
  </x:si>
  <x:si>
    <x:t xml:space="preserve">Margin perlu dipantau.</x:t>
  </x:si>
  <x:si>
    <x:t xml:space="preserve">Gross_Margin_Pressure_Min</x:t>
  </x:si>
  <x:si>
    <x:t xml:space="preserve">10–15% = Pressure</x:t>
  </x:si>
  <x:si>
    <x:t xml:space="preserve">Margin mulai tertekan.</x:t>
  </x:si>
  <x:si>
    <x:t xml:space="preserve">Gross_Margin_Critical_Max</x:t>
  </x:si>
  <x:si>
    <x:t xml:space="preserve">&lt;10% = Critical</x:t>
  </x:si>
  <x:si>
    <x:t xml:space="preserve">Margin kritikal.</x:t>
  </x:si>
  <x:si>
    <x:t xml:space="preserve">Function_Group</x:t>
  </x:si>
  <x:si>
    <x:t xml:space="preserve">FJA_Category</x:t>
  </x:si>
  <x:si>
    <x:t xml:space="preserve">Value_Role</x:t>
  </x:si>
  <x:si>
    <x:t xml:space="preserve">Revenue_Impact</x:t>
  </x:si>
  <x:si>
    <x:t xml:space="preserve">Board_Interpretation</x:t>
  </x:si>
  <x:si>
    <x:t xml:space="preserve">Sales</x:t>
  </x:si>
  <x:si>
    <x:t xml:space="preserve">Revenue Generator</x:t>
  </x:si>
  <x:si>
    <x:t xml:space="preserve">Direct revenue creation</x:t>
  </x:si>
  <x:si>
    <x:t xml:space="preserve">Direct</x:t>
  </x:si>
  <x:si>
    <x:t xml:space="preserve">Fungsi penghasil revenue langsung; prioritaskan pipeline, conversion, dan retention sales key person.</x:t>
  </x:si>
  <x:si>
    <x:t xml:space="preserve">Operations/Project</x:t>
  </x:si>
  <x:si>
    <x:t xml:space="preserve">Revenue Enabler</x:t>
  </x:si>
  <x:si>
    <x:t xml:space="preserve">Delivery &amp; project execution</x:t>
  </x:si>
  <x:si>
    <x:t xml:space="preserve">Direct/Enabling</x:t>
  </x:si>
  <x:si>
    <x:t xml:space="preserve">Fungsi delivery yang mengonversi kontrak menjadi revenue recognized; monitor backlog, SLA, rework, dan utilisasi.</x:t>
  </x:si>
  <x:si>
    <x:t xml:space="preserve">Engineering</x:t>
  </x:si>
  <x:si>
    <x:t xml:space="preserve">Technical capability &amp; solution delivery</x:t>
  </x:si>
  <x:si>
    <x:t xml:space="preserve">Fungsi teknis yang menopang kualitas delivery dan scalability; monitor bottleneck, certification, dan dependency.</x:t>
  </x:si>
  <x:si>
    <x:t xml:space="preserve">Support</x:t>
  </x:si>
  <x:si>
    <x:t xml:space="preserve">Support Function</x:t>
  </x:si>
  <x:si>
    <x:t xml:space="preserve">Back-office support &amp; control</x:t>
  </x:si>
  <x:si>
    <x:t xml:space="preserve">Indirect</x:t>
  </x:si>
  <x:si>
    <x:t xml:space="preserve">Fungsi pendukung; jaga proporsi agar tidak tumbuh lebih cepat dari revenue driver/enabler.</x:t>
  </x:si>
  <x:si>
    <x:t xml:space="preserve">Management</x:t>
  </x:si>
  <x:si>
    <x:t xml:space="preserve">Governance / Management</x:t>
  </x:si>
  <x:si>
    <x:t xml:space="preserve">Leadership &amp; governance</x:t>
  </x:si>
  <x:si>
    <x:t xml:space="preserve">Indirect/Strategic</x:t>
  </x:si>
  <x:si>
    <x:t xml:space="preserve">Fungsi pengarah dan kontrol; harus proporsional terhadap growth dan kompleksitas bisnis.</x:t>
  </x:si>
  <x:si>
    <x:t xml:space="preserve">UNMAPPED</x:t>
  </x:si>
  <x:si>
    <x:t xml:space="preserve">Unmapped</x:t>
  </x:si>
  <x:si>
    <x:t xml:space="preserve">Needs cleanup</x:t>
  </x:si>
  <x:si>
    <x:t xml:space="preserve">Unknown</x:t>
  </x:si>
  <x:si>
    <x:t xml:space="preserve">Mapping belum lengkap; perbaiki Function_Group di DIM_DEPARTMENT agar analisis FJA akurat.</x:t>
  </x:si>
  <x:si>
    <x:t xml:space="preserve">Dept_ID</x:t>
  </x:si>
  <x:si>
    <x:t xml:space="preserve">Dept_Name</x:t>
  </x:si>
  <x:si>
    <x:t xml:space="preserve">Revenue_Driver_Flag</x:t>
  </x:si>
  <x:si>
    <x:t xml:space="preserve">FJA_Category_Override</x:t>
  </x:si>
  <x:si>
    <x:t xml:space="preserve">Notes</x:t>
  </x:si>
  <x:si>
    <x:t xml:space="preserve">D001</x:t>
  </x:si>
  <x:si>
    <x:t xml:space="preserve">Y</x:t>
  </x:si>
  <x:si>
    <x:t xml:space="preserve">Sales &amp; account management</x:t>
  </x:si>
  <x:si>
    <x:t xml:space="preserve">D002</x:t>
  </x:si>
  <x:si>
    <x:t xml:space="preserve">Operations</x:t>
  </x:si>
  <x:si>
    <x:t xml:space="preserve">Project delivery / operations</x:t>
  </x:si>
  <x:si>
    <x:t xml:space="preserve">D003</x:t>
  </x:si>
  <x:si>
    <x:t xml:space="preserve">HRGA</x:t>
  </x:si>
  <x:si>
    <x:t xml:space="preserve">N</x:t>
  </x:si>
  <x:si>
    <x:t xml:space="preserve">People &amp; general affairs</x:t>
  </x:si>
  <x:si>
    <x:t xml:space="preserve">D004</x:t>
  </x:si>
  <x:si>
    <x:t xml:space="preserve">Procurement</x:t>
  </x:si>
  <x:si>
    <x:t xml:space="preserve">Purchasing &amp; vendor management</x:t>
  </x:si>
  <x:si>
    <x:t xml:space="preserve">D005</x:t>
  </x:si>
  <x:si>
    <x:t xml:space="preserve">Prodev</x:t>
  </x:si>
  <x:si>
    <x:t xml:space="preserve">Product/technical development</x:t>
  </x:si>
  <x:si>
    <x:t xml:space="preserve">D006</x:t>
  </x:si>
  <x:si>
    <x:t xml:space="preserve">Finance</x:t>
  </x:si>
  <x:si>
    <x:t xml:space="preserve">Finance &amp; accounting</x:t>
  </x:si>
  <x:si>
    <x:t xml:space="preserve">D007</x:t>
  </x:si>
  <x:si>
    <x:t xml:space="preserve">Executive/governance</x:t>
  </x:si>
  <x:si>
    <x:t xml:space="preserve">Employee_ID</x:t>
  </x:si>
  <x:si>
    <x:t xml:space="preserve">Employee_Name</x:t>
  </x:si>
  <x:si>
    <x:t xml:space="preserve">Position</x:t>
  </x:si>
  <x:si>
    <x:t xml:space="preserve">Employment_Type</x:t>
  </x:si>
  <x:si>
    <x:t xml:space="preserve">Join_Date</x:t>
  </x:si>
  <x:si>
    <x:t xml:space="preserve">Exit_Date</x:t>
  </x:si>
  <x:si>
    <x:t xml:space="preserve">Critical_Role_Flag</x:t>
  </x:si>
  <x:si>
    <x:t xml:space="preserve">E001</x:t>
  </x:si>
  <x:si>
    <x:t xml:space="preserve">Sample Sales Lead</x:t>
  </x:si>
  <x:si>
    <x:t xml:space="preserve">Sales Manager</x:t>
  </x:si>
  <x:si>
    <x:t xml:space="preserve">Permanent</x:t>
  </x:si>
  <x:si>
    <x:t xml:space="preserve">2021-01-01</x:t>
  </x:si>
  <x:si>
    <x:t xml:space="preserve">Example</x:t>
  </x:si>
  <x:si>
    <x:t xml:space="preserve">E002</x:t>
  </x:si>
  <x:si>
    <x:t xml:space="preserve">Sample Engineer</x:t>
  </x:si>
  <x:si>
    <x:t xml:space="preserve">Senior Engineer</x:t>
  </x:si>
  <x:si>
    <x:t xml:space="preserve">E003</x:t>
  </x:si>
  <x:si>
    <x:t xml:space="preserve">Sample Ops</x:t>
  </x:si>
  <x:si>
    <x:t xml:space="preserve">Project Coordinator</x:t>
  </x:si>
  <x:si>
    <x:t xml:space="preserve">Contract</x:t>
  </x:si>
  <x:si>
    <x:t xml:space="preserve">2022-03-01</x:t>
  </x:si>
  <x:si>
    <x:t xml:space="preserve">Year</x:t>
  </x:si>
  <x:si>
    <x:t xml:space="preserve">Business_Line</x:t>
  </x:si>
  <x:si>
    <x:t xml:space="preserve">Revenue_Recognized</x:t>
  </x:si>
  <x:si>
    <x:t xml:space="preserve">COGS_Direct</x:t>
  </x:si>
  <x:si>
    <x:t xml:space="preserve">Gross_Profit</x:t>
  </x:si>
  <x:si>
    <x:t xml:space="preserve">Gross_Margin_Pct</x:t>
  </x:si>
  <x:si>
    <x:t xml:space="preserve">Total Company</x:t>
  </x:si>
  <x:si>
    <x:t xml:space="preserve">Sample data - replace with actual</x:t>
  </x:si>
  <x:si>
    <x:t xml:space="preserve">Sample 2026 - replace with actual</x:t>
  </x:si>
  <x:si>
    <x:t xml:space="preserve">Direct_or_Allocated</x:t>
  </x:si>
  <x:si>
    <x:t xml:space="preserve">Allocation_Method</x:t>
  </x:si>
  <x:si>
    <x:t xml:space="preserve">Allocated</x:t>
  </x:si>
  <x:si>
    <x:t xml:space="preserve">Pipeline/Account ownership</x:t>
  </x:si>
  <x:si>
    <x:t xml:space="preserve">Sample</x:t>
  </x:si>
  <x:si>
    <x:t xml:space="preserve">Delivery ownership</x:t>
  </x:si>
  <x:si>
    <x:t xml:space="preserve">Technical delivery</x:t>
  </x:si>
  <x:si>
    <x:t xml:space="preserve">Sample 2026</x:t>
  </x:si>
  <x:si>
    <x:t xml:space="preserve">Avg_Headcount</x:t>
  </x:si>
  <x:si>
    <x:t xml:space="preserve">Avg_FTE</x:t>
  </x:si>
  <x:si>
    <x:t xml:space="preserve">New_Hires</x:t>
  </x:si>
  <x:si>
    <x:t xml:space="preserve">Exits</x:t>
  </x:si>
  <x:si>
    <x:t xml:space="preserve">Payroll_Gross</x:t>
  </x:si>
  <x:si>
    <x:t xml:space="preserve">Overtime</x:t>
  </x:si>
  <x:si>
    <x:t xml:space="preserve">Bonus</x:t>
  </x:si>
  <x:si>
    <x:t xml:space="preserve">Benefits</x:t>
  </x:si>
  <x:si>
    <x:t xml:space="preserve">Employer_Tax</x:t>
  </x:si>
  <x:si>
    <x:t xml:space="preserve">Total_Manpower_Cost</x:t>
  </x:si>
  <x:si>
    <x:t xml:space="preserve">Payment_Type</x:t>
  </x:si>
  <x:si>
    <x:t xml:space="preserve">Payroll</x:t>
  </x:si>
  <x:si>
    <x:t xml:space="preserve">Joiners</x:t>
  </x:si>
  <x:si>
    <x:t xml:space="preserve">Leavers</x:t>
  </x:si>
  <x:si>
    <x:t xml:space="preserve">Internal_Transfer_In</x:t>
  </x:si>
  <x:si>
    <x:t xml:space="preserve">Internal_Transfer_Out</x:t>
  </x:si>
  <x:si>
    <x:t xml:space="preserve">Project_ID</x:t>
  </x:si>
  <x:si>
    <x:t xml:space="preserve">Customer</x:t>
  </x:si>
  <x:si>
    <x:t xml:space="preserve">Revenue</x:t>
  </x:si>
  <x:si>
    <x:t xml:space="preserve">COGS</x:t>
  </x:si>
  <x:si>
    <x:t xml:space="preserve">Project_Status</x:t>
  </x:si>
  <x:si>
    <x:t xml:space="preserve">P001</x:t>
  </x:si>
  <x:si>
    <x:t xml:space="preserve">Customer A</x:t>
  </x:si>
  <x:si>
    <x:t xml:space="preserve">Managed Service</x:t>
  </x:si>
  <x:si>
    <x:t xml:space="preserve">Active</x:t>
  </x:si>
  <x:si>
    <x:t xml:space="preserve">P002</x:t>
  </x:si>
  <x:si>
    <x:t xml:space="preserve">Customer B</x:t>
  </x:si>
  <x:si>
    <x:t xml:space="preserve">Network Deployment</x:t>
  </x:si>
  <x:si>
    <x:t xml:space="preserve">Closed</x:t>
  </x:si>
  <x:si>
    <x:t xml:space="preserve">P003</x:t>
  </x:si>
  <x:si>
    <x:t xml:space="preserve">Customer C</x:t>
  </x:si>
  <x:si>
    <x:t xml:space="preserve">Maintenance</x:t>
  </x:si>
  <x:si>
    <x:t xml:space="preserve">P004</x:t>
  </x:si>
  <x:si>
    <x:t xml:space="preserve">Customer D</x:t>
  </x:si>
  <x:si>
    <x:t xml:space="preserve">P005</x:t>
  </x:si>
  <x:si>
    <x:t xml:space="preserve">Customer E</x:t>
  </x:si>
  <x:si>
    <x:t xml:space="preserve">P006</x:t>
  </x:si>
  <x:si>
    <x:t xml:space="preserve">Customer F</x:t>
  </x:si>
  <x:si>
    <x:t xml:space="preserve">Avg_Utilization_Pct</x:t>
  </x:si>
  <x:si>
    <x:t xml:space="preserve">Overtime_Hours</x:t>
  </x:si>
  <x:si>
    <x:t xml:space="preserve">Backlog_Count</x:t>
  </x:si>
  <x:si>
    <x:t xml:space="preserve">SLA_Breach_Count</x:t>
  </x:si>
  <x:si>
    <x:t xml:space="preserve">Incident_Count</x:t>
  </x:si>
  <x:si>
    <x:t xml:space="preserve">Turnover_Count</x:t>
  </x:si>
  <x:si>
    <x:t xml:space="preserve">Critical_Role_Dependency</x:t>
  </x:si>
  <x:si>
    <x:t xml:space="preserve">Medium</x:t>
  </x:si>
  <x:si>
    <x:t xml:space="preserve">High</x:t>
  </x:si>
  <x:si>
    <x:t xml:space="preserve">Low</x:t>
  </x:si>
  <x:si>
    <x:t xml:space="preserve">Executive KPI Preview (Excel-side, optional)</x:t>
  </x:si>
  <x:si>
    <x:t xml:space="preserve">Latest Year</x:t>
  </x:si>
  <x:si>
    <x:t xml:space="preserve">Total Revenue</x:t>
  </x:si>
  <x:si>
    <x:t xml:space="preserve">Total COGS</x:t>
  </x:si>
  <x:si>
    <x:t xml:space="preserve">Gross Margin</x:t>
  </x:si>
  <x:si>
    <x:t xml:space="preserve">Total Headcount</x:t>
  </x:si>
  <x:si>
    <x:t xml:space="preserve">Total Manpower Cost</x:t>
  </x:si>
  <x:si>
    <x:t xml:space="preserve">RPE</x:t>
  </x:si>
  <x:si>
    <x:t xml:space="preserve">MCR</x:t>
  </x:si>
  <x:si>
    <x:t xml:space="preserve">Business Posture Hint</x:t>
  </x:si>
  <x:si>
    <x:t xml:space="preserve">Margin Quality Hint</x:t>
  </x:si>
  <x:si>
    <x:t xml:space="preserve">Months_Closed</x:t>
  </x:si>
  <x:si>
    <x:t xml:space="preserve">Period_Type</x:t>
  </x:si>
  <x:si>
    <x:t xml:space="preserve">Period_Label</x:t>
  </x:si>
  <x:si>
    <x:t xml:space="preserve">Annualization_Factor</x:t>
  </x:si>
  <x:si>
    <x:t xml:space="preserve">Data_Confidence</x:t>
  </x:si>
  <x:si>
    <x:t xml:space="preserve">FY</x:t>
  </x:si>
  <x:si>
    <x:t xml:space="preserve">FY 2021</x:t>
  </x:si>
  <x:si>
    <x:t xml:space="preserve">Full year actual. Comparable with other FY periods.</x:t>
  </x:si>
  <x:si>
    <x:t xml:space="preserve">FY 2022</x:t>
  </x:si>
  <x:si>
    <x:t xml:space="preserve">FY 2023</x:t>
  </x:si>
  <x:si>
    <x:t xml:space="preserve">FY 2024</x:t>
  </x:si>
  <x:si>
    <x:t xml:space="preserve">FY 2025</x:t>
  </x:si>
  <x:si>
    <x:t xml:space="preserve">YTD</x:t>
  </x:si>
  <x:si>
    <x:t xml:space="preserve">YTD Jun 2026</x:t>
  </x:si>
  <x:si>
    <x:t xml:space="preserve">YTD actual. Use Annualized mode for fair directional comparison vs FY periods.</x:t>
  </x:si>
</x:sst>
</file>

<file path=xl/styles.xml><?xml version="1.0" encoding="utf-8"?>
<x:styleSheet xmlns:x="http://schemas.openxmlformats.org/spreadsheetml/2006/main">
  <x:numFmts count="7">
    <x:numFmt numFmtId="41" formatCode="_-* #,##0_-;\-* #,##0_-;_-* &quot;-&quot;_-;_-@_-"/>
    <x:numFmt numFmtId="164" formatCode="0.0%"/>
    <x:numFmt numFmtId="165" formatCode="yyyy\-mm\-dd"/>
    <x:numFmt numFmtId="166" formatCode="0.0"/>
    <x:numFmt numFmtId="167" formatCode="0.00\x"/>
    <x:numFmt numFmtId="200" formatCode="#,##0"/>
    <x:numFmt numFmtId="201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</x:fills>
  <x:borders count="2">
    <x:border/>
    <x:border/>
  </x:borders>
  <x:cellStyleXfs count="2">
    <x:xf numFmtId="0" fontId="0" fillId="0" borderId="0"/>
    <x:xf numFmtId="41" fontId="5" fillId="0" borderId="0" applyFont="0" applyFill="0" applyBorder="0" applyAlignment="0" applyProtection="0"/>
  </x:cellStyleXfs>
  <x:cellXfs count="68">
    <x:xf numFmtId="0" fontId="0" fillId="0" borderId="0" xfId="0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165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Alignment="1">
      <x:alignment horizontal="center" vertical="center" wrapText="1"/>
    </x:xf>
    <x:xf numFmtId="3" fontId="2" fillId="3" borderId="0" xfId="0" applyNumberFormat="1" applyFont="1" applyFill="1" applyAlignment="1">
      <x:alignment horizontal="center" vertical="center" wrapText="1"/>
    </x:xf>
    <x:xf numFmtId="164" fontId="2" fillId="3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wrapText="1"/>
    </x:xf>
    <x:xf numFmtId="0" fontId="0" fillId="0" borderId="0" xfId="0" applyNumberFormat="1" applyFont="1" applyFill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Alignment="1">
      <x:alignment horizontal="center" vertical="center" wrapText="1"/>
    </x:xf>
    <x:xf numFmtId="167" fontId="2" fillId="5" borderId="0" xfId="0" applyNumberFormat="1" applyFont="1" applyFill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41" fontId="0" fillId="0" borderId="0" xfId="1" applyFont="1" applyFill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3" fontId="0" fillId="0" borderId="1" xfId="0" applyNumberFormat="1" applyFont="1" applyFill="1" applyBorder="1" applyAlignment="1">
      <x:alignment wrapText="1"/>
    </x:xf>
    <x:xf numFmtId="166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3" fontId="2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41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2" fillId="7" borderId="0" xfId="0" applyNumberFormat="1" applyFont="1" applyFill="1" applyBorder="1" applyAlignment="1">
      <x:alignment horizontal="center" vertical="center" wrapText="1"/>
    </x:xf>
    <x:xf numFmtId="200" fontId="2" fillId="7" borderId="1" xfId="0" applyNumberFormat="1" applyFont="1" applyFill="1" applyBorder="1" applyAlignment="1">
      <x:alignment horizontal="center" vertical="center" wrapText="1"/>
    </x:xf>
    <x:xf numFmtId="164" fontId="2" fillId="7" borderId="0" xfId="0" applyNumberFormat="1" applyFont="1" applyFill="1" applyBorder="1" applyAlignment="1">
      <x:alignment horizontal="center" vertical="center" wrapText="1"/>
    </x:xf>
    <x:xf numFmtId="164" fontId="2" fillId="7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/>
    <x:xf numFmtId="164" fontId="0" fillId="0" borderId="1" xfId="0" applyNumberFormat="1" applyFont="1" applyFill="1" applyBorder="1"/>
    <x:xf numFmtId="3" fontId="2" fillId="3" borderId="0" xfId="0" applyNumberFormat="1" applyFont="1" applyFill="1" applyBorder="1" applyAlignment="1">
      <x:alignment horizontal="center" vertical="center" wrapText="1"/>
    </x:xf>
    <x:xf numFmtId="164" fontId="2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167" fontId="2" fillId="3" borderId="0" xfId="0" applyNumberFormat="1" applyFont="1" applyFill="1" applyBorder="1" applyAlignment="1">
      <x:alignment horizontal="center" vertical="center" wrapText="1"/>
    </x:xf>
    <x:xf numFmtId="4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201" fontId="2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2">
    <x:cellStyle name="Comma [0]" xfId="1"/>
    <x:cellStyle name="Normal" xfId="0"/>
  </x:cellStyles>
  <x:dxfs count="2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371fd028346f5" /><Relationship Type="http://schemas.openxmlformats.org/officeDocument/2006/relationships/theme" Target="/xl/theme/theme1.xml" Id="R63156de62c644eb7" /><Relationship Type="http://schemas.openxmlformats.org/officeDocument/2006/relationships/sharedStrings" Target="/xl/sharedStrings.xml" Id="R1995224053f24d9c" /><Relationship Type="http://schemas.openxmlformats.org/officeDocument/2006/relationships/worksheet" Target="/xl/worksheets/sheet1.xml" Id="Re04970e680654d95" /><Relationship Type="http://schemas.openxmlformats.org/officeDocument/2006/relationships/worksheet" Target="/xl/worksheets/sheet2.xml" Id="R52bdff00f2ff44fa" /><Relationship Type="http://schemas.openxmlformats.org/officeDocument/2006/relationships/worksheet" Target="/xl/worksheets/sheet3.xml" Id="R480ab79f442a4848" /><Relationship Type="http://schemas.openxmlformats.org/officeDocument/2006/relationships/worksheet" Target="/xl/worksheets/sheet4.xml" Id="Re99a5a101da34077" /><Relationship Type="http://schemas.openxmlformats.org/officeDocument/2006/relationships/worksheet" Target="/xl/worksheets/sheet5.xml" Id="R1aed2e0a37ec44d0" /><Relationship Type="http://schemas.openxmlformats.org/officeDocument/2006/relationships/worksheet" Target="/xl/worksheets/sheet6.xml" Id="R33ffe408362a4a98" /><Relationship Type="http://schemas.openxmlformats.org/officeDocument/2006/relationships/worksheet" Target="/xl/worksheets/sheet7.xml" Id="R8676def999c04f99" /><Relationship Type="http://schemas.openxmlformats.org/officeDocument/2006/relationships/worksheet" Target="/xl/worksheets/sheet8.xml" Id="Rb663595d6b9f4a02" /><Relationship Type="http://schemas.openxmlformats.org/officeDocument/2006/relationships/worksheet" Target="/xl/worksheets/sheet9.xml" Id="Ra4a065980105419b" /><Relationship Type="http://schemas.openxmlformats.org/officeDocument/2006/relationships/worksheet" Target="/xl/worksheets/sheet10.xml" Id="R82303c721c244c22" /><Relationship Type="http://schemas.openxmlformats.org/officeDocument/2006/relationships/worksheet" Target="/xl/worksheets/sheet11.xml" Id="R3a35690dd1a8412a" /><Relationship Type="http://schemas.openxmlformats.org/officeDocument/2006/relationships/worksheet" Target="/xl/worksheets/sheet12.xml" Id="R27bbdad186a6478d" /><Relationship Type="http://schemas.openxmlformats.org/officeDocument/2006/relationships/worksheet" Target="/xl/worksheets/sheet13.xml" Id="Rfe15c4acda11460c" /><Relationship Type="http://schemas.openxmlformats.org/officeDocument/2006/relationships/worksheet" Target="/xl/worksheets/sheet14.xml" Id="R1b2e587ef5b64839" /><Relationship Type="http://schemas.openxmlformats.org/officeDocument/2006/relationships/worksheet" Target="/xl/worksheets/sheet15.xml" Id="R00a3e3972fff4608" /><Relationship Type="http://schemas.openxmlformats.org/officeDocument/2006/relationships/worksheet" Target="/xl/worksheets/sheet16.xml" Id="R6b5d9488b1db48d3" /></Relationships>
</file>

<file path=xl/tables/table1.xml><?xml version="1.0" encoding="utf-8"?>
<x:table xmlns:x="http://schemas.openxmlformats.org/spreadsheetml/2006/main" id="1" name="TargetsTable" displayName="TargetsTable" ref="A1:E15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ables/table2.xml><?xml version="1.0" encoding="utf-8"?>
<x:table xmlns:x="http://schemas.openxmlformats.org/spreadsheetml/2006/main" id="2" name="FJAMappingTable" displayName="FJAMappingTable" ref="A1:E7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mDepartmentTable" displayName="DimDepartmentTable" ref="A1:F8">
  <x:tableColumns count="6">
    <x:tableColumn id="1" name="Dept_ID"/>
    <x:tableColumn id="2" name="Dept_Name"/>
    <x:tableColumn id="3" name="Function_Group"/>
    <x:tableColumn id="4" name="Revenue_Driver_Flag"/>
    <x:tableColumn id="5" name="FJA_Category_Overrid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imEmployeeTable" displayName="DimEmployeeTable" ref="A1:I4">
  <x:tableColumns count="9">
    <x:tableColumn id="1" name="Employee_ID"/>
    <x:tableColumn id="2" name="Employee_Name"/>
    <x:tableColumn id="3" name="Dept_ID"/>
    <x:tableColumn id="4" name="Position"/>
    <x:tableColumn id="5" name="Employment_Type"/>
    <x:tableColumn id="6" name="Join_Date"/>
    <x:tableColumn id="7" name="Exit_Date"/>
    <x:tableColumn id="8" name="Critical_Role_Flag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venueYearTable" displayName="RevenueYearTable" ref="A1:G6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venueByDeptTable" displayName="RevenueByDeptTable" ref="A1:F16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eadcountYearTable" displayName="HeadcountYearTable" ref="A1:G30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ayrollYearTable" displayName="PayrollYearTable" ref="A1:J3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HCMovementTable" displayName="HCMovementTable" ref="A1:G3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rojectMarginTable" displayName="ProjectMarginTable" ref="A1:J4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apacityIndicatorTable" displayName="CapacityIndicatorTable" ref="A1:J2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9" name="CalendarTable" displayName="CalendarTable" ref="A1:G7">
  <x:tableColumns count="7">
    <x:tableColumn id="1" name="Year"/>
    <x:tableColumn id="2" name="Months_Closed"/>
    <x:tableColumn id="3" name="Period_Type"/>
    <x:tableColumn id="4" name="Period_Label"/>
    <x:tableColumn id="5" name="Annualization_Factor"/>
    <x:tableColumn id="6" name="Data_Confidence"/>
    <x:tableColumn id="7" name="Board_Use"/>
  </x:tableColumns>
  <x:tableStyleInfo name="TableStyleMedium2" showRowStripes="1"/>
</x:table>
</file>

<file path=xl/tables/table13.xml><?xml version="1.0" encoding="utf-8"?>
<x:table xmlns:x="http://schemas.openxmlformats.org/spreadsheetml/2006/main" id="20" name="FinancialsV3Table" displayName="FinancialsV3Table" ref="A1:AD7" headerRowCount="1">
  <x:tableColumns count="30">
    <x:tableColumn id="1" name="Year"/>
    <x:tableColumn id="2" name="Project_Revenue"/>
    <x:tableColumn id="3" name="Sales_Discount"/>
    <x:tableColumn id="4" name="Net_Revenue"/>
    <x:tableColumn id="5" name="COGS_Direct"/>
    <x:tableColumn id="6" name="Project_Overhead"/>
    <x:tableColumn id="7" name="Gross_Profit"/>
    <x:tableColumn id="8" name="Biaya_Administrasi"/>
    <x:tableColumn id="9" name="Biaya_Marketing"/>
    <x:tableColumn id="10" name="Biaya_Litbang_RnD"/>
    <x:tableColumn id="11" name="Total_Biaya_Operasional"/>
    <x:tableColumn id="12" name="Operating_Profit_EBIT"/>
    <x:tableColumn id="13" name="Other_Income"/>
    <x:tableColumn id="14" name="Other_Expense"/>
    <x:tableColumn id="15" name="Interest_Expense"/>
    <x:tableColumn id="16" name="Total_Other_Income_Expense"/>
    <x:tableColumn id="17" name="Profit_Before_Tax_PBT"/>
    <x:tableColumn id="18" name="PPh_29"/>
    <x:tableColumn id="19" name="PPh_23_42"/>
    <x:tableColumn id="20" name="Total_Tax"/>
    <x:tableColumn id="21" name="Net_Profit"/>
    <x:tableColumn id="22" name="Gross_Margin_Pct"/>
    <x:tableColumn id="23" name="Operating_Margin_Pct"/>
    <x:tableColumn id="24" name="Net_Margin_Pct"/>
    <x:tableColumn id="25" name="Admin_OPEX_Ratio"/>
    <x:tableColumn id="26" name="OPEX_Ratio"/>
    <x:tableColumn id="27" name="Interest_Ratio"/>
    <x:tableColumn id="28" name="Tax_Ratio"/>
    <x:tableColumn id="29" name="Profit_Conversion_Pct"/>
    <x:tableColumn id="3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794b7c413924c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4eda91edadc40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d7adc4f849942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d3382e65fa348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dfeab4e9f8643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554adb1a1894c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02b803d0c4e49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0ed4d52476743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81cd1b2d4f41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325d7cc30e24b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3fa4b4f31aa4cb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28d207d891e6435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448a423f76614bb1" /></Relationships>
</file>

<file path=xl/worksheets/sheet1.xml><?xml version="1.0" encoding="utf-8"?>
<x:worksheet xmlns:x="http://schemas.openxmlformats.org/spreadsheetml/2006/main">
  <x:sheetFormatPr defaultRowHeight="14.25"/>
  <x:cols>
    <x:col min="1" max="1" width="30" hidden="0" customWidth="1"/>
    <x:col min="2" max="2" width="90" hidden="0" customWidth="1"/>
  </x:cols>
  <x:sheetData>
    <x:row r="1" ht="27.950000762939453" customHeight="1">
      <x:c r="A1" s="67" t="s">
        <x:v>0</x:v>
      </x:c>
      <x:c r="B1" s="2"/>
    </x:row>
    <x:row r="3">
      <x:c r="A3" s="2" t="s">
        <x:v>1</x:v>
      </x:c>
    </x:row>
    <x:row r="4">
      <x:c r="A4" s="2" t="s">
        <x:v>2</x:v>
      </x:c>
    </x:row>
    <x:row r="5">
      <x:c r="A5" s="2" t="s">
        <x:v>3</x:v>
      </x:c>
    </x:row>
    <x:row r="6">
      <x:c r="A6" s="2" t="s">
        <x:v>4</x:v>
      </x:c>
    </x:row>
    <x:row r="7">
      <x:c r="A7" s="2"/>
    </x:row>
    <x:row r="8">
      <x:c r="A8" s="2" t="s">
        <x:v>5</x:v>
      </x:c>
    </x:row>
    <x:row r="9">
      <x:c r="A9" s="2" t="s">
        <x:v>6</x:v>
      </x:c>
    </x:row>
    <x:row r="10">
      <x:c r="A10" s="2" t="s">
        <x:v>7</x:v>
      </x:c>
    </x:row>
    <x:row r="11">
      <x:c r="A11" s="2" t="s">
        <x:v>8</x:v>
      </x:c>
    </x:row>
    <x:row r="12">
      <x:c r="A12" s="64" t="str">
        <x:v>YTD / Annualized / Comparable Logic</x:v>
      </x:c>
      <x:c r="B12" s="63" t="str"/>
    </x:row>
    <x:row r="13">
      <x:c r="A13" s="2" t="str">
        <x:v>Actual</x:v>
      </x:c>
      <x:c r="B13" t="str">
        <x:v>Membaca angka sesuai data input. Jika 2026 baru YTD, maka tidak apple-to-apple dengan FY 2025.</x:v>
      </x:c>
    </x:row>
    <x:row r="14">
      <x:c r="A14" s="2" t="str">
        <x:v>Annualized</x:v>
      </x:c>
      <x:c r="B14" t="str">
        <x:v>Menyetahunkan angka YTD: faktor = 12 / Months_Closed. Jika 4 bulan maka x3, jika 6 bulan maka x2.</x:v>
      </x:c>
    </x:row>
    <x:row r="15">
      <x:c r="A15" s="2" t="str">
        <x:v>YTD Comparable</x:v>
      </x:c>
      <x:c r="B15" t="str">
        <x:v>Membuat semua tahun menjadi basis bulan yang sama dengan YTD berjalan. Misal 2026 4 bulan, maka FY 2025 menjadi 4/12 dari FY 2025.</x:v>
      </x:c>
    </x:row>
    <x:row r="16">
      <x:c r="A16" s="2" t="str">
        <x:v>Catatan</x:v>
      </x:c>
      <x:c r="B16" t="str">
        <x:v>YTD Comparable adalah proxy jika data bulanan 2025 tidak tersedia. Untuk akurasi penuh, tambahkan data bulanan.</x:v>
      </x:c>
    </x:row>
    <x:row r="17">
      <x:c r="A17" s="2" t="str">
        <x:v>Headcount</x:v>
      </x:c>
      <x:c r="B17" t="str">
        <x:v>Headcount tidak dianualisasi karena dibaca sebagai average capacity.</x:v>
      </x:c>
    </x:row>
    <x:row r="18">
      <x:c r="A18" s="2" t="str">
        <x:v>Rekomendasi</x:v>
      </x:c>
      <x:c r="B18" t="str">
        <x:v>Gunakan YTD Comparable untuk membandingkan 2025 vs 2026 YTD; gunakan Annualized untuk proyeksi akhir tahun.</x:v>
      </x:c>
    </x:row>
    <x:row r="19">
      <x:c r="A19" s="2" t="s">
        <x:v>9</x:v>
      </x:c>
    </x:row>
    <x:row r="20">
      <x:c r="A20" s="2" t="s">
        <x:v>10</x:v>
      </x:c>
    </x:row>
    <x:row r="21" ht="15">
      <x:c r="A21" s="15" t="s">
        <x:v>11</x:v>
      </x:c>
    </x:row>
    <x:row r="22">
      <x:c r="A22" s="2" t="s">
        <x:v>12</x:v>
      </x:c>
    </x:row>
    <x:row r="23">
      <x:c r="A23" s="2" t="s">
        <x:v>13</x:v>
      </x:c>
    </x:row>
    <x:row r="24" ht="15">
      <x:c r="A24" s="18" t="s">
        <x:v>14</x:v>
      </x:c>
    </x:row>
    <x:row r="25">
      <x:c r="A25" s="2" t="s">
        <x:v>15</x:v>
      </x:c>
    </x:row>
    <x:row r="26">
      <x:c r="A26" s="2" t="s">
        <x:v>16</x:v>
      </x:c>
    </x:row>
    <x:row r="27">
      <x:c r="A27" s="2" t="s">
        <x:v>17</x:v>
      </x:c>
    </x:row>
    <x:row r="28">
      <x:c r="A28" s="2" t="s">
        <x:v>18</x:v>
      </x:c>
    </x:row>
    <x:row r="29">
      <x:c r="A29" s="2" t="s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0" customWidth="1"/>
    <x:col min="2" max="2" width="24" customWidth="1"/>
    <x:col min="3" max="3" width="70" customWidth="1"/>
  </x:cols>
  <x:sheetData>
    <x:row r="1" ht="15">
      <x:c r="A1" s="3" t="s">
        <x:v>20</x:v>
      </x:c>
      <x:c r="B1" s="3" t="s">
        <x:v>21</x:v>
      </x:c>
      <x:c r="C1" s="3" t="s">
        <x:v>22</x:v>
      </x:c>
    </x:row>
    <x:row r="2">
      <x:c r="A2" s="2" t="s">
        <x:v>23</x:v>
      </x:c>
      <x:c r="B2" s="2" t="s">
        <x:v>24</x:v>
      </x:c>
      <x:c r="C2" s="2" t="s">
        <x:v>25</x:v>
      </x:c>
    </x:row>
    <x:row r="3">
      <x:c r="A3" s="2" t="s">
        <x:v>26</x:v>
      </x:c>
      <x:c r="B3" s="2" t="s">
        <x:v>27</x:v>
      </x:c>
      <x:c r="C3" s="2" t="s">
        <x:v>28</x:v>
      </x:c>
    </x:row>
    <x:row r="4">
      <x:c r="A4" s="2" t="s">
        <x:v>29</x:v>
      </x:c>
      <x:c r="B4" s="2">
        <x:v>2021</x:v>
      </x:c>
      <x:c r="C4" s="2" t="s">
        <x:v>30</x:v>
      </x:c>
    </x:row>
    <x:row r="5">
      <x:c r="A5" s="2" t="s">
        <x:v>31</x:v>
      </x:c>
      <x:c r="B5" s="2">
        <x:v>2026</x:v>
      </x:c>
      <x:c r="C5" s="2" t="s">
        <x:v>32</x:v>
      </x:c>
    </x:row>
    <x:row r="6">
      <x:c r="A6" s="2" t="s">
        <x:v>33</x:v>
      </x:c>
      <x:c r="B6" s="2" t="s">
        <x:v>34</x:v>
      </x:c>
      <x:c r="C6" s="2" t="s">
        <x:v>35</x:v>
      </x:c>
    </x:row>
    <x:row r="7">
      <x:c r="A7" s="2" t="s">
        <x:v>36</x:v>
      </x:c>
      <x:c r="B7" s="2" t="s">
        <x:v>37</x:v>
      </x:c>
      <x:c r="C7" s="2" t="s">
        <x:v>38</x:v>
      </x:c>
    </x:row>
    <x:row r="8">
      <x:c r="A8" s="2" t="s">
        <x:v>39</x:v>
      </x:c>
      <x:c r="B8" s="4">
        <x:v>0.25</x:v>
      </x:c>
      <x:c r="C8" s="2" t="s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38" customWidth="1"/>
    <x:col min="2" max="2" width="16" customWidth="1"/>
    <x:col min="3" max="3" width="10" customWidth="1"/>
    <x:col min="4" max="4" width="28" customWidth="1"/>
    <x:col min="5" max="5" width="65" customWidth="1"/>
    <x:col min="6" max="6" width="34" hidden="0" customWidth="1"/>
    <x:col min="7" max="7" width="15" hidden="0" customWidth="1"/>
    <x:col min="8" max="8" width="10" hidden="0" customWidth="1"/>
    <x:col min="9" max="9" width="52" hidden="0" customWidth="1"/>
  </x:cols>
  <x:sheetData>
    <x:row r="1" ht="15">
      <x:c r="A1" s="3" t="s">
        <x:v>41</x:v>
      </x:c>
      <x:c r="B1" s="3" t="s">
        <x:v>42</x:v>
      </x:c>
      <x:c r="C1" s="3" t="s">
        <x:v>43</x:v>
      </x:c>
      <x:c r="D1" s="3" t="s">
        <x:v>44</x:v>
      </x:c>
      <x:c r="E1" s="3" t="s">
        <x:v>45</x:v>
      </x:c>
    </x:row>
    <x:row r="2">
      <x:c r="A2" s="2" t="s">
        <x:v>46</x:v>
      </x:c>
      <x:c r="B2" s="4">
        <x:v>0.2</x:v>
      </x:c>
      <x:c r="C2" s="2" t="s">
        <x:v>47</x:v>
      </x:c>
      <x:c r="D2" s="2" t="s">
        <x:v>48</x:v>
      </x:c>
      <x:c r="E2" s="2" t="s">
        <x:v>49</x:v>
      </x:c>
    </x:row>
    <x:row r="3">
      <x:c r="A3" s="2" t="s">
        <x:v>50</x:v>
      </x:c>
      <x:c r="B3" s="4">
        <x:v>0.15</x:v>
      </x:c>
      <x:c r="C3" s="2" t="s">
        <x:v>47</x:v>
      </x:c>
      <x:c r="D3" s="2" t="s">
        <x:v>51</x:v>
      </x:c>
      <x:c r="E3" s="2" t="s">
        <x:v>52</x:v>
      </x:c>
    </x:row>
    <x:row r="4">
      <x:c r="A4" s="2" t="s">
        <x:v>53</x:v>
      </x:c>
      <x:c r="B4" s="4">
        <x:v>0.1</x:v>
      </x:c>
      <x:c r="C4" s="2" t="s">
        <x:v>47</x:v>
      </x:c>
      <x:c r="D4" s="2" t="s">
        <x:v>54</x:v>
      </x:c>
      <x:c r="E4" s="2" t="s">
        <x:v>55</x:v>
      </x:c>
    </x:row>
    <x:row r="5">
      <x:c r="A5" s="2" t="s">
        <x:v>56</x:v>
      </x:c>
      <x:c r="B5" s="4">
        <x:v>0.05</x:v>
      </x:c>
      <x:c r="C5" s="2" t="s">
        <x:v>47</x:v>
      </x:c>
      <x:c r="D5" s="2" t="s">
        <x:v>57</x:v>
      </x:c>
      <x:c r="E5" s="2" t="s">
        <x:v>58</x:v>
      </x:c>
    </x:row>
    <x:row r="6">
      <x:c r="A6" s="2" t="s">
        <x:v>59</x:v>
      </x:c>
      <x:c r="B6" s="4">
        <x:v>0.05</x:v>
      </x:c>
      <x:c r="C6" s="2" t="s">
        <x:v>47</x:v>
      </x:c>
      <x:c r="D6" s="2" t="s">
        <x:v>60</x:v>
      </x:c>
      <x:c r="E6" s="2" t="s">
        <x:v>61</x:v>
      </x:c>
    </x:row>
    <x:row r="7">
      <x:c r="A7" s="2" t="s">
        <x:v>62</x:v>
      </x:c>
      <x:c r="B7" s="4">
        <x:v>7.0000000000000007E-2</x:v>
      </x:c>
      <x:c r="C7" s="2" t="s">
        <x:v>47</x:v>
      </x:c>
      <x:c r="D7" s="2" t="s">
        <x:v>60</x:v>
      </x:c>
      <x:c r="E7" s="2" t="s">
        <x:v>63</x:v>
      </x:c>
    </x:row>
    <x:row r="8">
      <x:c r="A8" s="2" t="s">
        <x:v>64</x:v>
      </x:c>
      <x:c r="B8" s="4">
        <x:v>0.09</x:v>
      </x:c>
      <x:c r="C8" s="2" t="s">
        <x:v>47</x:v>
      </x:c>
      <x:c r="D8" s="2" t="s">
        <x:v>65</x:v>
      </x:c>
      <x:c r="E8" s="2" t="s">
        <x:v>66</x:v>
      </x:c>
    </x:row>
    <x:row r="9">
      <x:c r="A9" s="2" t="s">
        <x:v>67</x:v>
      </x:c>
      <x:c r="B9" s="4">
        <x:v>0.14000000000000001</x:v>
      </x:c>
      <x:c r="C9" s="2" t="s">
        <x:v>47</x:v>
      </x:c>
      <x:c r="D9" s="2" t="s">
        <x:v>68</x:v>
      </x:c>
      <x:c r="E9" s="2" t="s">
        <x:v>69</x:v>
      </x:c>
    </x:row>
    <x:row r="10">
      <x:c r="A10" s="2" t="s">
        <x:v>70</x:v>
      </x:c>
      <x:c r="B10" s="4">
        <x:v>0.14000000000000001</x:v>
      </x:c>
      <x:c r="C10" s="2" t="s">
        <x:v>47</x:v>
      </x:c>
      <x:c r="D10" s="2" t="s">
        <x:v>71</x:v>
      </x:c>
      <x:c r="E10" s="2" t="s">
        <x:v>72</x:v>
      </x:c>
    </x:row>
    <x:row r="11">
      <x:c r="A11" s="2" t="s">
        <x:v>73</x:v>
      </x:c>
      <x:c r="B11" s="4">
        <x:v>0.35</x:v>
      </x:c>
      <x:c r="C11" s="2" t="s">
        <x:v>47</x:v>
      </x:c>
      <x:c r="D11" s="2" t="s">
        <x:v>74</x:v>
      </x:c>
      <x:c r="E11" s="2" t="s">
        <x:v>75</x:v>
      </x:c>
    </x:row>
    <x:row r="12">
      <x:c r="A12" s="2" t="s">
        <x:v>39</x:v>
      </x:c>
      <x:c r="B12" s="4">
        <x:v>0.25</x:v>
      </x:c>
      <x:c r="C12" s="2" t="s">
        <x:v>47</x:v>
      </x:c>
      <x:c r="D12" s="2" t="s">
        <x:v>76</x:v>
      </x:c>
      <x:c r="E12" s="2" t="s">
        <x:v>77</x:v>
      </x:c>
    </x:row>
    <x:row r="13">
      <x:c r="A13" s="2" t="s">
        <x:v>78</x:v>
      </x:c>
      <x:c r="B13" s="4">
        <x:v>0.15</x:v>
      </x:c>
      <x:c r="C13" s="2" t="s">
        <x:v>47</x:v>
      </x:c>
      <x:c r="D13" s="2" t="s">
        <x:v>79</x:v>
      </x:c>
      <x:c r="E13" s="2" t="s">
        <x:v>80</x:v>
      </x:c>
    </x:row>
    <x:row r="14">
      <x:c r="A14" s="2" t="s">
        <x:v>81</x:v>
      </x:c>
      <x:c r="B14" s="4">
        <x:v>0.1</x:v>
      </x:c>
      <x:c r="C14" s="2" t="s">
        <x:v>47</x:v>
      </x:c>
      <x:c r="D14" s="2" t="s">
        <x:v>82</x:v>
      </x:c>
      <x:c r="E14" s="2" t="s">
        <x:v>83</x:v>
      </x:c>
    </x:row>
    <x:row r="15">
      <x:c r="A15" s="2" t="s">
        <x:v>84</x:v>
      </x:c>
      <x:c r="B15" s="4">
        <x:v>0.1</x:v>
      </x:c>
      <x:c r="C15" s="2" t="s">
        <x:v>47</x:v>
      </x:c>
      <x:c r="D15" s="2" t="s">
        <x:v>85</x:v>
      </x:c>
      <x:c r="E15" s="2" t="s">
        <x:v>86</x:v>
      </x:c>
    </x:row>
    <x:row r="39">
      <x:c r="F39" s="39" t="str">
        <x:v>V3 Financial Targets</x:v>
      </x:c>
      <x:c r="G39" s="39" t="str">
        <x:v>Target_Value</x:v>
      </x:c>
      <x:c r="H39" s="39" t="str">
        <x:v>Unit</x:v>
      </x:c>
      <x:c r="I39" s="39" t="str">
        <x:v>How to Read</x:v>
      </x:c>
    </x:row>
    <x:row r="40">
      <x:c r="A40" s="45" t="str">
        <x:v>Operating_Margin_Strong_Min</x:v>
      </x:c>
      <x:c r="B40" s="50" t="n">
        <x:v>0.15</x:v>
      </x:c>
      <x:c r="C40" s="45" t="str">
        <x:v>%</x:v>
      </x:c>
      <x:c r="D40" s="45" t="str">
        <x:v>&gt;=15% = Strong operating profit</x:v>
      </x:c>
      <x:c r="F40" s="45" t="str">
        <x:v>Operating_Margin_Strong_Min</x:v>
      </x:c>
      <x:c r="G40" s="50" t="n">
        <x:v>0.15</x:v>
      </x:c>
      <x:c r="H40" s="45" t="str">
        <x:v>%</x:v>
      </x:c>
      <x:c r="I40" s="45" t="str">
        <x:v>&gt;=15% = Strong operating profit</x:v>
      </x:c>
    </x:row>
    <x:row r="41">
      <x:c r="A41" s="45" t="str">
        <x:v>Operating_Margin_Healthy_Min</x:v>
      </x:c>
      <x:c r="B41" s="50" t="n">
        <x:v>0.1</x:v>
      </x:c>
      <x:c r="C41" s="45" t="str">
        <x:v>%</x:v>
      </x:c>
      <x:c r="D41" s="45" t="str">
        <x:v>10-15% = Healthy operating margin</x:v>
      </x:c>
      <x:c r="F41" s="45" t="str">
        <x:v>Operating_Margin_Healthy_Min</x:v>
      </x:c>
      <x:c r="G41" s="50" t="n">
        <x:v>0.1</x:v>
      </x:c>
      <x:c r="H41" s="45" t="str">
        <x:v>%</x:v>
      </x:c>
      <x:c r="I41" s="45" t="str">
        <x:v>10-15% = Healthy operating margin</x:v>
      </x:c>
    </x:row>
    <x:row r="42">
      <x:c r="A42" s="45" t="str">
        <x:v>Operating_Margin_Watch_Min</x:v>
      </x:c>
      <x:c r="B42" s="50" t="n">
        <x:v>0.05</x:v>
      </x:c>
      <x:c r="C42" s="45" t="str">
        <x:v>%</x:v>
      </x:c>
      <x:c r="D42" s="45" t="str">
        <x:v>5-10% = Watch operating margin</x:v>
      </x:c>
      <x:c r="F42" s="45" t="str">
        <x:v>Operating_Margin_Watch_Min</x:v>
      </x:c>
      <x:c r="G42" s="50" t="n">
        <x:v>0.05</x:v>
      </x:c>
      <x:c r="H42" s="45" t="str">
        <x:v>%</x:v>
      </x:c>
      <x:c r="I42" s="45" t="str">
        <x:v>5-10% = Watch operating margin</x:v>
      </x:c>
    </x:row>
    <x:row r="43">
      <x:c r="A43" s="45" t="str">
        <x:v>Operating_Margin_Pressure_Min</x:v>
      </x:c>
      <x:c r="B43" s="50" t="n">
        <x:v>0.02</x:v>
      </x:c>
      <x:c r="C43" s="45" t="str">
        <x:v>%</x:v>
      </x:c>
      <x:c r="D43" s="45" t="str">
        <x:v>2-5% = Pressure operating margin</x:v>
      </x:c>
      <x:c r="F43" s="45" t="str">
        <x:v>Operating_Margin_Pressure_Min</x:v>
      </x:c>
      <x:c r="G43" s="50" t="n">
        <x:v>0.02</x:v>
      </x:c>
      <x:c r="H43" s="45" t="str">
        <x:v>%</x:v>
      </x:c>
      <x:c r="I43" s="45" t="str">
        <x:v>2-5% = Pressure operating margin</x:v>
      </x:c>
    </x:row>
    <x:row r="44">
      <x:c r="A44" s="45" t="str">
        <x:v>Net_Margin_Strong_Min</x:v>
      </x:c>
      <x:c r="B44" s="50" t="n">
        <x:v>0.06</x:v>
      </x:c>
      <x:c r="C44" s="45" t="str">
        <x:v>%</x:v>
      </x:c>
      <x:c r="D44" s="45" t="str">
        <x:v>&gt;=6% = Strong net profit for project-based business</x:v>
      </x:c>
      <x:c r="F44" s="45" t="str">
        <x:v>Net_Margin_Strong_Min</x:v>
      </x:c>
      <x:c r="G44" s="50" t="n">
        <x:v>0.06</x:v>
      </x:c>
      <x:c r="H44" s="45" t="str">
        <x:v>%</x:v>
      </x:c>
      <x:c r="I44" s="45" t="str">
        <x:v>&gt;=6% = Strong net profit for project-based business</x:v>
      </x:c>
    </x:row>
    <x:row r="45">
      <x:c r="A45" s="45" t="str">
        <x:v>Net_Margin_Healthy_Min</x:v>
      </x:c>
      <x:c r="B45" s="50" t="n">
        <x:v>0.04</x:v>
      </x:c>
      <x:c r="C45" s="45" t="str">
        <x:v>%</x:v>
      </x:c>
      <x:c r="D45" s="45" t="str">
        <x:v>4-6% = Healthy net margin</x:v>
      </x:c>
      <x:c r="F45" s="45" t="str">
        <x:v>Net_Margin_Healthy_Min</x:v>
      </x:c>
      <x:c r="G45" s="50" t="n">
        <x:v>0.04</x:v>
      </x:c>
      <x:c r="H45" s="45" t="str">
        <x:v>%</x:v>
      </x:c>
      <x:c r="I45" s="45" t="str">
        <x:v>4-6% = Healthy net margin</x:v>
      </x:c>
    </x:row>
    <x:row r="46">
      <x:c r="A46" s="45" t="str">
        <x:v>Net_Margin_Watch_Min</x:v>
      </x:c>
      <x:c r="B46" s="50" t="n">
        <x:v>0.02</x:v>
      </x:c>
      <x:c r="C46" s="45" t="str">
        <x:v>%</x:v>
      </x:c>
      <x:c r="D46" s="45" t="str">
        <x:v>2-4% = Watch net margin</x:v>
      </x:c>
      <x:c r="F46" s="45" t="str">
        <x:v>Net_Margin_Watch_Min</x:v>
      </x:c>
      <x:c r="G46" s="50" t="n">
        <x:v>0.02</x:v>
      </x:c>
      <x:c r="H46" s="45" t="str">
        <x:v>%</x:v>
      </x:c>
      <x:c r="I46" s="45" t="str">
        <x:v>2-4% = Watch net margin</x:v>
      </x:c>
    </x:row>
    <x:row r="47">
      <x:c r="A47" s="45" t="str">
        <x:v>Net_Margin_Pressure_Min</x:v>
      </x:c>
      <x:c r="B47" s="50" t="n">
        <x:v>0.01</x:v>
      </x:c>
      <x:c r="C47" s="45" t="str">
        <x:v>%</x:v>
      </x:c>
      <x:c r="D47" s="45" t="str">
        <x:v>1-2% = Pressure net margin</x:v>
      </x:c>
      <x:c r="F47" s="45" t="str">
        <x:v>Net_Margin_Pressure_Min</x:v>
      </x:c>
      <x:c r="G47" s="50" t="n">
        <x:v>0.01</x:v>
      </x:c>
      <x:c r="H47" s="45" t="str">
        <x:v>%</x:v>
      </x:c>
      <x:c r="I47" s="45" t="str">
        <x:v>1-2% = Pressure net margin</x:v>
      </x:c>
    </x:row>
    <x:row r="48">
      <x:c r="A48" s="45" t="str">
        <x:v>Admin_OPEX_Ratio_Max</x:v>
      </x:c>
      <x:c r="B48" s="50" t="n">
        <x:v>0.15</x:v>
      </x:c>
      <x:c r="C48" s="45" t="str">
        <x:v>%</x:v>
      </x:c>
      <x:c r="D48" s="45" t="str">
        <x:v>&lt;=15% = Admin OPEX controlled</x:v>
      </x:c>
      <x:c r="F48" s="45" t="str">
        <x:v>Admin_OPEX_Ratio_Max</x:v>
      </x:c>
      <x:c r="G48" s="50" t="n">
        <x:v>0.15</x:v>
      </x:c>
      <x:c r="H48" s="45" t="str">
        <x:v>%</x:v>
      </x:c>
      <x:c r="I48" s="45" t="str">
        <x:v>&lt;=15% = Admin OPEX controlled</x:v>
      </x:c>
    </x:row>
    <x:row r="49">
      <x:c r="A49" s="45" t="str">
        <x:v>OPEX_Ratio_Max</x:v>
      </x:c>
      <x:c r="B49" s="50" t="n">
        <x:v>0.16</x:v>
      </x:c>
      <x:c r="C49" s="45" t="str">
        <x:v>%</x:v>
      </x:c>
      <x:c r="D49" s="45" t="str">
        <x:v>&lt;=16% = Total operating expense controlled</x:v>
      </x:c>
      <x:c r="F49" s="45" t="str">
        <x:v>OPEX_Ratio_Max</x:v>
      </x:c>
      <x:c r="G49" s="50" t="n">
        <x:v>0.16</x:v>
      </x:c>
      <x:c r="H49" s="45" t="str">
        <x:v>%</x:v>
      </x:c>
      <x:c r="I49" s="45" t="str">
        <x:v>&lt;=16% = Total operating expense controlled</x:v>
      </x:c>
    </x:row>
    <x:row r="50">
      <x:c r="A50" s="45" t="str">
        <x:v>Interest_Ratio_Max</x:v>
      </x:c>
      <x:c r="B50" s="50" t="n">
        <x:v>0.05</x:v>
      </x:c>
      <x:c r="C50" s="45" t="str">
        <x:v>%</x:v>
      </x:c>
      <x:c r="D50" s="45" t="str">
        <x:v>&lt;=5% = interest burden still manageable</x:v>
      </x:c>
      <x:c r="F50" s="45" t="str">
        <x:v>Interest_Ratio_Max</x:v>
      </x:c>
      <x:c r="G50" s="50" t="n">
        <x:v>0.05</x:v>
      </x:c>
      <x:c r="H50" s="45" t="str">
        <x:v>%</x:v>
      </x:c>
      <x:c r="I50" s="45" t="str">
        <x:v>&lt;=5% = interest burden still manageable</x:v>
      </x:c>
    </x:row>
    <x:row r="51">
      <x:c r="A51" s="45" t="str">
        <x:v>Tax_Ratio_Max</x:v>
      </x:c>
      <x:c r="B51" s="50" t="n">
        <x:v>0.02</x:v>
      </x:c>
      <x:c r="C51" s="45" t="str">
        <x:v>%</x:v>
      </x:c>
      <x:c r="D51" s="45" t="str">
        <x:v>&lt;=2% = tax ratio reference based on P&amp;L view</x:v>
      </x:c>
      <x:c r="F51" s="45" t="str">
        <x:v>Tax_Ratio_Max</x:v>
      </x:c>
      <x:c r="G51" s="50" t="n">
        <x:v>0.02</x:v>
      </x:c>
      <x:c r="H51" s="45" t="str">
        <x:v>%</x:v>
      </x:c>
      <x:c r="I51" s="45" t="str">
        <x:v>&lt;=2% = tax ratio reference based on P&amp;L view</x:v>
      </x:c>
    </x:row>
    <x:row r="52">
      <x:c r="A52" s="45" t="str">
        <x:v>Profit_Conversion_Healthy_Min</x:v>
      </x:c>
      <x:c r="B52" s="50" t="n">
        <x:v>0.15</x:v>
      </x:c>
      <x:c r="C52" s="45" t="str">
        <x:v>%</x:v>
      </x:c>
      <x:c r="D52" s="45" t="str">
        <x:v>Net Profit / Gross Profit minimum healthy</x:v>
      </x:c>
      <x:c r="F52" s="45" t="str">
        <x:v>Profit_Conversion_Healthy_Min</x:v>
      </x:c>
      <x:c r="G52" s="50" t="n">
        <x:v>0.15</x:v>
      </x:c>
      <x:c r="H52" s="45" t="str">
        <x:v>%</x:v>
      </x:c>
      <x:c r="I52" s="45" t="str">
        <x:v>Net Profit / Gross Profit minimum healthy</x:v>
      </x:c>
    </x:row>
  </x:sheetData>
  <x:pageMargins left="0.7" right="0.7" top="0.75" bottom="0.75" header="0.3" footer="0.3"/>
  <x:tableParts count="1">
    <x:tablePart xmlns:r="http://schemas.openxmlformats.org/officeDocument/2006/relationships" r:id="R5794b7c413924cf6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4" customWidth="1"/>
    <x:col min="2" max="2" width="28" customWidth="1"/>
    <x:col min="3" max="3" width="34" customWidth="1"/>
    <x:col min="4" max="4" width="18" customWidth="1"/>
    <x:col min="5" max="5" width="70" customWidth="1"/>
  </x:cols>
  <x:sheetData>
    <x:row r="1" ht="15">
      <x:c r="A1" s="3" t="s">
        <x:v>87</x:v>
      </x:c>
      <x:c r="B1" s="3" t="s">
        <x:v>88</x:v>
      </x:c>
      <x:c r="C1" s="3" t="s">
        <x:v>89</x:v>
      </x:c>
      <x:c r="D1" s="3" t="s">
        <x:v>90</x:v>
      </x:c>
      <x:c r="E1" s="3" t="s">
        <x:v>91</x:v>
      </x:c>
    </x:row>
    <x:row r="2" ht="28.5">
      <x:c r="A2" s="2" t="s">
        <x:v>92</x:v>
      </x:c>
      <x:c r="B2" s="2" t="s">
        <x:v>93</x:v>
      </x:c>
      <x:c r="C2" s="2" t="s">
        <x:v>94</x:v>
      </x:c>
      <x:c r="D2" s="2" t="s">
        <x:v>95</x:v>
      </x:c>
      <x:c r="E2" s="2" t="s">
        <x:v>96</x:v>
      </x:c>
    </x:row>
    <x:row r="3" ht="28.5">
      <x:c r="A3" s="2" t="s">
        <x:v>97</x:v>
      </x:c>
      <x:c r="B3" s="2" t="s">
        <x:v>98</x:v>
      </x:c>
      <x:c r="C3" s="2" t="s">
        <x:v>99</x:v>
      </x:c>
      <x:c r="D3" s="2" t="s">
        <x:v>100</x:v>
      </x:c>
      <x:c r="E3" s="2" t="s">
        <x:v>101</x:v>
      </x:c>
    </x:row>
    <x:row r="4" ht="28.5">
      <x:c r="A4" s="2" t="s">
        <x:v>102</x:v>
      </x:c>
      <x:c r="B4" s="2" t="s">
        <x:v>98</x:v>
      </x:c>
      <x:c r="C4" s="2" t="s">
        <x:v>103</x:v>
      </x:c>
      <x:c r="D4" s="2" t="s">
        <x:v>100</x:v>
      </x:c>
      <x:c r="E4" s="2" t="s">
        <x:v>104</x:v>
      </x:c>
    </x:row>
    <x:row r="5" ht="28.5">
      <x:c r="A5" s="2" t="s">
        <x:v>105</x:v>
      </x:c>
      <x:c r="B5" s="2" t="s">
        <x:v>106</x:v>
      </x:c>
      <x:c r="C5" s="2" t="s">
        <x:v>107</x:v>
      </x:c>
      <x:c r="D5" s="2" t="s">
        <x:v>108</x:v>
      </x:c>
      <x:c r="E5" s="2" t="s">
        <x:v>109</x:v>
      </x:c>
    </x:row>
    <x:row r="6" ht="28.5">
      <x:c r="A6" s="2" t="s">
        <x:v>110</x:v>
      </x:c>
      <x:c r="B6" s="2" t="s">
        <x:v>111</x:v>
      </x:c>
      <x:c r="C6" s="2" t="s">
        <x:v>112</x:v>
      </x:c>
      <x:c r="D6" s="2" t="s">
        <x:v>113</x:v>
      </x:c>
      <x:c r="E6" s="2" t="s">
        <x:v>114</x:v>
      </x:c>
    </x:row>
    <x:row r="7" ht="28.5">
      <x:c r="A7" s="2" t="s">
        <x:v>115</x:v>
      </x:c>
      <x:c r="B7" s="2" t="s">
        <x:v>116</x:v>
      </x:c>
      <x:c r="C7" s="2" t="s">
        <x:v>117</x:v>
      </x:c>
      <x:c r="D7" s="2" t="s">
        <x:v>118</x:v>
      </x:c>
      <x:c r="E7" s="2" t="s">
        <x:v>119</x:v>
      </x:c>
    </x:row>
  </x:sheetData>
  <x:pageMargins left="0.7" right="0.7" top="0.75" bottom="0.75" header="0.3" footer="0.3"/>
  <x:tableParts count="1">
    <x:tablePart xmlns:r="http://schemas.openxmlformats.org/officeDocument/2006/relationships" r:id="Rb4eda91edadc4077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5" width="22" customWidth="1"/>
    <x:col min="6" max="6" width="38" customWidth="1"/>
  </x:cols>
  <x:sheetData>
    <x:row r="1" ht="30">
      <x:c r="A1" s="3" t="s">
        <x:v>120</x:v>
      </x:c>
      <x:c r="B1" s="3" t="s">
        <x:v>121</x:v>
      </x:c>
      <x:c r="C1" s="3" t="s">
        <x:v>87</x:v>
      </x:c>
      <x:c r="D1" s="3" t="s">
        <x:v>122</x:v>
      </x:c>
      <x:c r="E1" s="3" t="s">
        <x:v>123</x:v>
      </x:c>
      <x:c r="F1" s="3" t="s">
        <x:v>124</x:v>
      </x:c>
    </x:row>
    <x:row r="2">
      <x:c r="A2" s="2" t="s">
        <x:v>125</x:v>
      </x:c>
      <x:c r="B2" s="2" t="s">
        <x:v>92</x:v>
      </x:c>
      <x:c r="C2" s="2" t="s">
        <x:v>92</x:v>
      </x:c>
      <x:c r="D2" s="2" t="s">
        <x:v>126</x:v>
      </x:c>
      <x:c r="E2" s="2" t="s">
        <x:v>93</x:v>
      </x:c>
      <x:c r="F2" s="2" t="s">
        <x:v>127</x:v>
      </x:c>
    </x:row>
    <x:row r="3">
      <x:c r="A3" s="2" t="s">
        <x:v>128</x:v>
      </x:c>
      <x:c r="B3" s="2" t="s">
        <x:v>129</x:v>
      </x:c>
      <x:c r="C3" s="2" t="s">
        <x:v>97</x:v>
      </x:c>
      <x:c r="D3" s="2" t="s">
        <x:v>126</x:v>
      </x:c>
      <x:c r="E3" s="2" t="s">
        <x:v>98</x:v>
      </x:c>
      <x:c r="F3" s="2" t="s">
        <x:v>130</x:v>
      </x:c>
    </x:row>
    <x:row r="4">
      <x:c r="A4" s="2" t="s">
        <x:v>131</x:v>
      </x:c>
      <x:c r="B4" s="2" t="s">
        <x:v>132</x:v>
      </x:c>
      <x:c r="C4" s="2" t="s">
        <x:v>105</x:v>
      </x:c>
      <x:c r="D4" s="2" t="s">
        <x:v>133</x:v>
      </x:c>
      <x:c r="E4" s="2" t="s">
        <x:v>106</x:v>
      </x:c>
      <x:c r="F4" s="2" t="s">
        <x:v>134</x:v>
      </x:c>
    </x:row>
    <x:row r="5">
      <x:c r="A5" s="2" t="s">
        <x:v>135</x:v>
      </x:c>
      <x:c r="B5" s="2" t="s">
        <x:v>136</x:v>
      </x:c>
      <x:c r="C5" s="2" t="s">
        <x:v>105</x:v>
      </x:c>
      <x:c r="D5" s="2" t="s">
        <x:v>133</x:v>
      </x:c>
      <x:c r="E5" s="2" t="s">
        <x:v>106</x:v>
      </x:c>
      <x:c r="F5" s="2" t="s">
        <x:v>137</x:v>
      </x:c>
    </x:row>
    <x:row r="6">
      <x:c r="A6" s="2" t="s">
        <x:v>138</x:v>
      </x:c>
      <x:c r="B6" s="2" t="s">
        <x:v>139</x:v>
      </x:c>
      <x:c r="C6" s="2" t="s">
        <x:v>102</x:v>
      </x:c>
      <x:c r="D6" s="2" t="s">
        <x:v>126</x:v>
      </x:c>
      <x:c r="E6" s="2" t="s">
        <x:v>98</x:v>
      </x:c>
      <x:c r="F6" s="2" t="s">
        <x:v>140</x:v>
      </x:c>
    </x:row>
    <x:row r="7">
      <x:c r="A7" s="2" t="s">
        <x:v>141</x:v>
      </x:c>
      <x:c r="B7" s="2" t="s">
        <x:v>142</x:v>
      </x:c>
      <x:c r="C7" s="2" t="s">
        <x:v>105</x:v>
      </x:c>
      <x:c r="D7" s="2" t="s">
        <x:v>133</x:v>
      </x:c>
      <x:c r="E7" s="2" t="s">
        <x:v>106</x:v>
      </x:c>
      <x:c r="F7" s="2" t="s">
        <x:v>143</x:v>
      </x:c>
    </x:row>
    <x:row r="8" ht="28.5">
      <x:c r="A8" s="2" t="s">
        <x:v>144</x:v>
      </x:c>
      <x:c r="B8" s="2" t="s">
        <x:v>110</x:v>
      </x:c>
      <x:c r="C8" s="2" t="s">
        <x:v>110</x:v>
      </x:c>
      <x:c r="D8" s="2" t="s">
        <x:v>133</x:v>
      </x:c>
      <x:c r="E8" s="2" t="s">
        <x:v>111</x:v>
      </x:c>
      <x:c r="F8" s="2" t="s">
        <x:v>145</x:v>
      </x:c>
    </x:row>
  </x:sheetData>
  <x:dataValidations count="3">
    <x:dataValidation type="list" sqref="C2:C200">
      <x:formula1>"Sales,Operations/Project,Engineering,Support,Management"</x:formula1>
    </x:dataValidation>
    <x:dataValidation type="list" sqref="D2:D200">
      <x:formula1>"Y,N"</x:formula1>
    </x:dataValidation>
    <x:dataValidation type="list" sqref="E2:E200">
      <x:formula1>",Revenue Generator,Revenue Enabler,Support Function,Governance / Management,Unmapped"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7adc4f8499420e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0" customWidth="1"/>
    <x:col min="2" max="2" width="26" customWidth="1"/>
    <x:col min="3" max="3" width="20" customWidth="1"/>
    <x:col min="4" max="4" width="26" customWidth="1"/>
    <x:col min="5" max="9" width="20" customWidth="1"/>
  </x:cols>
  <x:sheetData>
    <x:row r="1" ht="15">
      <x:c r="A1" s="3" t="s">
        <x:v>146</x:v>
      </x:c>
      <x:c r="B1" s="3" t="s">
        <x:v>147</x:v>
      </x:c>
      <x:c r="C1" s="3" t="s">
        <x:v>120</x:v>
      </x:c>
      <x:c r="D1" s="3" t="s">
        <x:v>148</x:v>
      </x:c>
      <x:c r="E1" s="3" t="s">
        <x:v>149</x:v>
      </x:c>
      <x:c r="F1" s="5" t="s">
        <x:v>150</x:v>
      </x:c>
      <x:c r="G1" s="5" t="s">
        <x:v>151</x:v>
      </x:c>
      <x:c r="H1" s="3" t="s">
        <x:v>152</x:v>
      </x:c>
      <x:c r="I1" s="3" t="s">
        <x:v>124</x:v>
      </x:c>
    </x:row>
    <x:row r="2">
      <x:c r="A2" s="2" t="s">
        <x:v>153</x:v>
      </x:c>
      <x:c r="B2" s="2" t="s">
        <x:v>154</x:v>
      </x:c>
      <x:c r="C2" s="2" t="s">
        <x:v>125</x:v>
      </x:c>
      <x:c r="D2" s="2" t="s">
        <x:v>155</x:v>
      </x:c>
      <x:c r="E2" s="2" t="s">
        <x:v>156</x:v>
      </x:c>
      <x:c r="F2" s="2" t="s">
        <x:v>157</x:v>
      </x:c>
      <x:c r="G2" s="2"/>
      <x:c r="H2" s="2" t="s">
        <x:v>126</x:v>
      </x:c>
      <x:c r="I2" s="2" t="s">
        <x:v>158</x:v>
      </x:c>
    </x:row>
    <x:row r="3">
      <x:c r="A3" s="2" t="s">
        <x:v>159</x:v>
      </x:c>
      <x:c r="B3" s="2" t="s">
        <x:v>160</x:v>
      </x:c>
      <x:c r="C3" s="2" t="s">
        <x:v>138</x:v>
      </x:c>
      <x:c r="D3" s="2" t="s">
        <x:v>161</x:v>
      </x:c>
      <x:c r="E3" s="2" t="s">
        <x:v>156</x:v>
      </x:c>
      <x:c r="F3" s="2" t="s">
        <x:v>157</x:v>
      </x:c>
      <x:c r="G3" s="2"/>
      <x:c r="H3" s="2" t="s">
        <x:v>126</x:v>
      </x:c>
      <x:c r="I3" s="2" t="s">
        <x:v>158</x:v>
      </x:c>
    </x:row>
    <x:row r="4">
      <x:c r="A4" s="2" t="s">
        <x:v>162</x:v>
      </x:c>
      <x:c r="B4" s="2" t="s">
        <x:v>163</x:v>
      </x:c>
      <x:c r="C4" s="2" t="s">
        <x:v>128</x:v>
      </x:c>
      <x:c r="D4" s="2" t="s">
        <x:v>164</x:v>
      </x:c>
      <x:c r="E4" s="2" t="s">
        <x:v>165</x:v>
      </x:c>
      <x:c r="F4" s="2" t="s">
        <x:v>166</x:v>
      </x:c>
      <x:c r="G4" s="2"/>
      <x:c r="H4" s="2" t="s">
        <x:v>133</x:v>
      </x:c>
      <x:c r="I4" s="2" t="s">
        <x:v>158</x:v>
      </x:c>
    </x:row>
  </x:sheetData>
  <x:dataValidations count="2">
    <x:dataValidation type="list" sqref="E2:E500">
      <x:formula1>"Permanent,Contract,Freelance,Outsource,Intern"</x:formula1>
    </x:dataValidation>
    <x:dataValidation type="list" sqref="H2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3382e65fa34899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6" width="22" customWidth="1"/>
    <x:col min="7" max="7" width="34" customWidth="1"/>
  </x:cols>
  <x:sheetData>
    <x:row r="1" ht="15">
      <x:c r="A1" s="10" t="s">
        <x:v>167</x:v>
      </x:c>
      <x:c r="B1" s="10" t="s">
        <x:v>168</x:v>
      </x:c>
      <x:c r="C1" s="11" t="s">
        <x:v>169</x:v>
      </x:c>
      <x:c r="D1" s="11" t="s">
        <x:v>170</x:v>
      </x:c>
      <x:c r="E1" s="11" t="s">
        <x:v>171</x:v>
      </x:c>
      <x:c r="F1" s="12" t="s">
        <x:v>172</x:v>
      </x:c>
      <x:c r="G1" s="10" t="s">
        <x:v>124</x:v>
      </x:c>
    </x:row>
    <x:row r="2">
      <x:c r="A2" s="13">
        <x:v>2021</x:v>
      </x:c>
      <x:c r="B2" s="13" t="s">
        <x:v>173</x:v>
      </x:c>
      <x:c r="C2" s="19">
        <x:v>45048932718</x:v>
      </x:c>
      <x:c r="D2" s="19">
        <x:v>23425445013</x:v>
      </x:c>
      <x:c r="E2" s="19" t="n">
        <x:f t="shared" ref="E2:E7" si="0">C2-D2</x:f>
        <x:v>21623487705</x:v>
      </x:c>
      <x:c r="F2" s="13" t="n">
        <x:f t="shared" ref="F2:F7" si="1">IF(C2&gt;0,E2/C2,"")</x:f>
        <x:v>0.4800000000079913</x:v>
      </x:c>
      <x:c r="G2" s="13" t="s">
        <x:v>174</x:v>
      </x:c>
    </x:row>
    <x:row r="3">
      <x:c r="A3" s="13">
        <x:v>2022</x:v>
      </x:c>
      <x:c r="B3" s="13" t="s">
        <x:v>173</x:v>
      </x:c>
      <x:c r="C3" s="19">
        <x:v>51100000000</x:v>
      </x:c>
      <x:c r="D3" s="19">
        <x:v>27000000000</x:v>
      </x:c>
      <x:c r="E3" s="19">
        <x:f t="shared" si="0"/>
        <x:v>24100000000</x:v>
      </x:c>
      <x:c r="F3" s="13">
        <x:f t="shared" si="1"/>
        <x:v>0.47162426614481406</x:v>
      </x:c>
      <x:c r="G3" s="13" t="s">
        <x:v>174</x:v>
      </x:c>
    </x:row>
    <x:row r="4">
      <x:c r="A4" s="13">
        <x:v>2023</x:v>
      </x:c>
      <x:c r="B4" s="13" t="s">
        <x:v>173</x:v>
      </x:c>
      <x:c r="C4" s="19">
        <x:v>58750000000</x:v>
      </x:c>
      <x:c r="D4" s="19">
        <x:v>32500000000</x:v>
      </x:c>
      <x:c r="E4" s="19">
        <x:f t="shared" si="0"/>
        <x:v>26250000000</x:v>
      </x:c>
      <x:c r="F4" s="13">
        <x:f t="shared" si="1"/>
        <x:v>0.44680851063829785</x:v>
      </x:c>
      <x:c r="G4" s="13" t="s">
        <x:v>174</x:v>
      </x:c>
    </x:row>
    <x:row r="5">
      <x:c r="A5" s="13">
        <x:v>2024</x:v>
      </x:c>
      <x:c r="B5" s="13" t="s">
        <x:v>173</x:v>
      </x:c>
      <x:c r="C5" s="19">
        <x:v>62700000000</x:v>
      </x:c>
      <x:c r="D5" s="19">
        <x:v>35000000000</x:v>
      </x:c>
      <x:c r="E5" s="19">
        <x:f t="shared" si="0"/>
        <x:v>27700000000</x:v>
      </x:c>
      <x:c r="F5" s="13">
        <x:f t="shared" si="1"/>
        <x:v>0.44178628389154706</x:v>
      </x:c>
      <x:c r="G5" s="13" t="s">
        <x:v>174</x:v>
      </x:c>
    </x:row>
    <x:row r="6">
      <x:c r="A6" s="13">
        <x:v>2025</x:v>
      </x:c>
      <x:c r="B6" s="13" t="s">
        <x:v>173</x:v>
      </x:c>
      <x:c r="C6" s="19">
        <x:v>89705623736</x:v>
      </x:c>
      <x:c r="D6" s="19">
        <x:v>67368593009</x:v>
      </x:c>
      <x:c r="E6" s="19">
        <x:f t="shared" si="0"/>
        <x:v>22337030727</x:v>
      </x:c>
      <x:c r="F6" s="13">
        <x:f t="shared" si="1"/>
        <x:v>0.24900368334472511</x:v>
      </x:c>
      <x:c r="G6" s="13" t="s">
        <x:v>174</x:v>
      </x:c>
    </x:row>
    <x:row r="7">
      <x:c r="A7" s="13">
        <x:v>2026</x:v>
      </x:c>
      <x:c r="B7" s="13" t="s">
        <x:v>173</x:v>
      </x:c>
      <x:c r="C7" s="19">
        <x:v>20000000000</x:v>
      </x:c>
      <x:c r="D7" s="19">
        <x:v>17000000000</x:v>
      </x:c>
      <x:c r="E7" s="19">
        <x:f t="shared" si="0"/>
        <x:v>3000000000</x:v>
      </x:c>
      <x:c r="F7" s="13">
        <x:f t="shared" si="1"/>
        <x:v>0.15</x:v>
      </x:c>
      <x:c r="G7" s="13" t="s">
        <x:v>175</x:v>
      </x:c>
    </x:row>
  </x:sheetData>
  <x:pageMargins left="0.7" right="0.7" top="0.75" bottom="0.75" header="0.3" footer="0.3"/>
  <x:tableParts count="1">
    <x:tablePart xmlns:r="http://schemas.openxmlformats.org/officeDocument/2006/relationships" r:id="Radfeab4e9f8643c1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4" width="22" customWidth="1"/>
    <x:col min="5" max="6" width="32" customWidth="1"/>
  </x:cols>
  <x:sheetData>
    <x:row r="1" ht="15">
      <x:c r="A1" s="10" t="s">
        <x:v>167</x:v>
      </x:c>
      <x:c r="B1" s="10" t="s">
        <x:v>120</x:v>
      </x:c>
      <x:c r="C1" s="11" t="s">
        <x:v>169</x:v>
      </x:c>
      <x:c r="D1" s="10" t="s">
        <x:v>176</x:v>
      </x:c>
      <x:c r="E1" s="10" t="s">
        <x:v>177</x:v>
      </x:c>
      <x:c r="F1" s="10" t="s">
        <x:v>124</x:v>
      </x:c>
    </x:row>
    <x:row r="2">
      <x:c r="A2" s="13">
        <x:v>2021</x:v>
      </x:c>
      <x:c r="B2" s="13" t="s">
        <x:v>125</x:v>
      </x:c>
      <x:c r="C2" s="13">
        <x:v>18019573087</x:v>
      </x:c>
      <x:c r="D2" s="13" t="s">
        <x:v>178</x:v>
      </x:c>
      <x:c r="E2" s="13" t="s">
        <x:v>179</x:v>
      </x:c>
      <x:c r="F2" s="13" t="s">
        <x:v>180</x:v>
      </x:c>
    </x:row>
    <x:row r="3">
      <x:c r="A3" s="13">
        <x:v>2021</x:v>
      </x:c>
      <x:c r="B3" s="13" t="s">
        <x:v>128</x:v>
      </x:c>
      <x:c r="C3" s="13">
        <x:v>15767126451</x:v>
      </x:c>
      <x:c r="D3" s="13" t="s">
        <x:v>178</x:v>
      </x:c>
      <x:c r="E3" s="13" t="s">
        <x:v>181</x:v>
      </x:c>
      <x:c r="F3" s="13" t="s">
        <x:v>180</x:v>
      </x:c>
    </x:row>
    <x:row r="4">
      <x:c r="A4" s="13">
        <x:v>2021</x:v>
      </x:c>
      <x:c r="B4" s="13" t="s">
        <x:v>138</x:v>
      </x:c>
      <x:c r="C4" s="13">
        <x:v>11262233180</x:v>
      </x:c>
      <x:c r="D4" s="13" t="s">
        <x:v>178</x:v>
      </x:c>
      <x:c r="E4" s="13" t="s">
        <x:v>182</x:v>
      </x:c>
      <x:c r="F4" s="13" t="s">
        <x:v>180</x:v>
      </x:c>
    </x:row>
    <x:row r="5">
      <x:c r="A5" s="13">
        <x:v>2022</x:v>
      </x:c>
      <x:c r="B5" s="13" t="s">
        <x:v>125</x:v>
      </x:c>
      <x:c r="C5" s="13">
        <x:v>20440000000</x:v>
      </x:c>
      <x:c r="D5" s="13" t="s">
        <x:v>178</x:v>
      </x:c>
      <x:c r="E5" s="13" t="s">
        <x:v>179</x:v>
      </x:c>
      <x:c r="F5" s="13" t="s">
        <x:v>180</x:v>
      </x:c>
    </x:row>
    <x:row r="6">
      <x:c r="A6" s="13">
        <x:v>2022</x:v>
      </x:c>
      <x:c r="B6" s="13" t="s">
        <x:v>128</x:v>
      </x:c>
      <x:c r="C6" s="13">
        <x:v>17885000000</x:v>
      </x:c>
      <x:c r="D6" s="13" t="s">
        <x:v>178</x:v>
      </x:c>
      <x:c r="E6" s="13" t="s">
        <x:v>181</x:v>
      </x:c>
      <x:c r="F6" s="13" t="s">
        <x:v>180</x:v>
      </x:c>
    </x:row>
    <x:row r="7">
      <x:c r="A7" s="13">
        <x:v>2022</x:v>
      </x:c>
      <x:c r="B7" s="13" t="s">
        <x:v>138</x:v>
      </x:c>
      <x:c r="C7" s="13">
        <x:v>12775000000</x:v>
      </x:c>
      <x:c r="D7" s="13" t="s">
        <x:v>178</x:v>
      </x:c>
      <x:c r="E7" s="13" t="s">
        <x:v>182</x:v>
      </x:c>
      <x:c r="F7" s="13" t="s">
        <x:v>180</x:v>
      </x:c>
    </x:row>
    <x:row r="8">
      <x:c r="A8" s="13">
        <x:v>2023</x:v>
      </x:c>
      <x:c r="B8" s="13" t="s">
        <x:v>125</x:v>
      </x:c>
      <x:c r="C8" s="13">
        <x:v>23500000000</x:v>
      </x:c>
      <x:c r="D8" s="13" t="s">
        <x:v>178</x:v>
      </x:c>
      <x:c r="E8" s="13" t="s">
        <x:v>179</x:v>
      </x:c>
      <x:c r="F8" s="13" t="s">
        <x:v>180</x:v>
      </x:c>
    </x:row>
    <x:row r="9">
      <x:c r="A9" s="13">
        <x:v>2023</x:v>
      </x:c>
      <x:c r="B9" s="13" t="s">
        <x:v>128</x:v>
      </x:c>
      <x:c r="C9" s="13">
        <x:v>20562500000</x:v>
      </x:c>
      <x:c r="D9" s="13" t="s">
        <x:v>178</x:v>
      </x:c>
      <x:c r="E9" s="13" t="s">
        <x:v>181</x:v>
      </x:c>
      <x:c r="F9" s="13" t="s">
        <x:v>180</x:v>
      </x:c>
    </x:row>
    <x:row r="10">
      <x:c r="A10" s="13">
        <x:v>2023</x:v>
      </x:c>
      <x:c r="B10" s="13" t="s">
        <x:v>138</x:v>
      </x:c>
      <x:c r="C10" s="13">
        <x:v>14687500000</x:v>
      </x:c>
      <x:c r="D10" s="13" t="s">
        <x:v>178</x:v>
      </x:c>
      <x:c r="E10" s="13" t="s">
        <x:v>182</x:v>
      </x:c>
      <x:c r="F10" s="13" t="s">
        <x:v>180</x:v>
      </x:c>
    </x:row>
    <x:row r="11">
      <x:c r="A11" s="13">
        <x:v>2024</x:v>
      </x:c>
      <x:c r="B11" s="13" t="s">
        <x:v>125</x:v>
      </x:c>
      <x:c r="C11" s="13">
        <x:v>25080000000</x:v>
      </x:c>
      <x:c r="D11" s="13" t="s">
        <x:v>178</x:v>
      </x:c>
      <x:c r="E11" s="13" t="s">
        <x:v>179</x:v>
      </x:c>
      <x:c r="F11" s="13" t="s">
        <x:v>180</x:v>
      </x:c>
    </x:row>
    <x:row r="12">
      <x:c r="A12" s="13">
        <x:v>2024</x:v>
      </x:c>
      <x:c r="B12" s="13" t="s">
        <x:v>128</x:v>
      </x:c>
      <x:c r="C12" s="13">
        <x:v>21945000000</x:v>
      </x:c>
      <x:c r="D12" s="13" t="s">
        <x:v>178</x:v>
      </x:c>
      <x:c r="E12" s="13" t="s">
        <x:v>181</x:v>
      </x:c>
      <x:c r="F12" s="13" t="s">
        <x:v>180</x:v>
      </x:c>
    </x:row>
    <x:row r="13">
      <x:c r="A13" s="13">
        <x:v>2024</x:v>
      </x:c>
      <x:c r="B13" s="13" t="s">
        <x:v>138</x:v>
      </x:c>
      <x:c r="C13" s="13">
        <x:v>15675000000</x:v>
      </x:c>
      <x:c r="D13" s="13" t="s">
        <x:v>178</x:v>
      </x:c>
      <x:c r="E13" s="13" t="s">
        <x:v>182</x:v>
      </x:c>
      <x:c r="F13" s="13" t="s">
        <x:v>180</x:v>
      </x:c>
    </x:row>
    <x:row r="14">
      <x:c r="A14" s="13">
        <x:v>2025</x:v>
      </x:c>
      <x:c r="B14" s="13" t="s">
        <x:v>125</x:v>
      </x:c>
      <x:c r="C14" s="13">
        <x:v>35882249494</x:v>
      </x:c>
      <x:c r="D14" s="13" t="s">
        <x:v>178</x:v>
      </x:c>
      <x:c r="E14" s="13" t="s">
        <x:v>179</x:v>
      </x:c>
      <x:c r="F14" s="13" t="s">
        <x:v>180</x:v>
      </x:c>
    </x:row>
    <x:row r="15">
      <x:c r="A15" s="13">
        <x:v>2025</x:v>
      </x:c>
      <x:c r="B15" s="13" t="s">
        <x:v>128</x:v>
      </x:c>
      <x:c r="C15" s="13">
        <x:v>31396968308</x:v>
      </x:c>
      <x:c r="D15" s="13" t="s">
        <x:v>178</x:v>
      </x:c>
      <x:c r="E15" s="13" t="s">
        <x:v>181</x:v>
      </x:c>
      <x:c r="F15" s="13" t="s">
        <x:v>180</x:v>
      </x:c>
    </x:row>
    <x:row r="16">
      <x:c r="A16" s="13">
        <x:v>2025</x:v>
      </x:c>
      <x:c r="B16" s="13" t="s">
        <x:v>138</x:v>
      </x:c>
      <x:c r="C16" s="13">
        <x:v>22426405934</x:v>
      </x:c>
      <x:c r="D16" s="13" t="s">
        <x:v>178</x:v>
      </x:c>
      <x:c r="E16" s="13" t="s">
        <x:v>182</x:v>
      </x:c>
      <x:c r="F16" s="13" t="s">
        <x:v>180</x:v>
      </x:c>
    </x:row>
    <x:row r="17">
      <x:c r="A17" s="13">
        <x:v>2026</x:v>
      </x:c>
      <x:c r="B17" s="13" t="s">
        <x:v>125</x:v>
      </x:c>
      <x:c r="C17" s="13">
        <x:v>39400000000</x:v>
      </x:c>
      <x:c r="D17" s="13" t="s">
        <x:v>178</x:v>
      </x:c>
      <x:c r="E17" s="13" t="s">
        <x:v>179</x:v>
      </x:c>
      <x:c r="F17" s="13" t="s">
        <x:v>183</x:v>
      </x:c>
    </x:row>
    <x:row r="18">
      <x:c r="A18" s="13">
        <x:v>2026</x:v>
      </x:c>
      <x:c r="B18" s="13" t="s">
        <x:v>128</x:v>
      </x:c>
      <x:c r="C18" s="13">
        <x:v>34475000000</x:v>
      </x:c>
      <x:c r="D18" s="13" t="s">
        <x:v>178</x:v>
      </x:c>
      <x:c r="E18" s="13" t="s">
        <x:v>181</x:v>
      </x:c>
      <x:c r="F18" s="13" t="s">
        <x:v>183</x:v>
      </x:c>
    </x:row>
    <x:row r="19">
      <x:c r="A19" s="13">
        <x:v>2026</x:v>
      </x:c>
      <x:c r="B19" s="13" t="s">
        <x:v>138</x:v>
      </x:c>
      <x:c r="C19" s="13">
        <x:v>24625000000</x:v>
      </x:c>
      <x:c r="D19" s="13" t="s">
        <x:v>178</x:v>
      </x:c>
      <x:c r="E19" s="13" t="s">
        <x:v>182</x:v>
      </x:c>
      <x:c r="F19" s="13" t="s">
        <x:v>183</x:v>
      </x:c>
    </x:row>
  </x:sheetData>
  <x:dataValidations count="1">
    <x:dataValidation type="list" sqref="D2:D500">
      <x:formula1>"Direct,Allocated"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54adb1a1894cd7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6" width="18" customWidth="1"/>
    <x:col min="7" max="7" width="30" customWidth="1"/>
  </x:cols>
  <x:sheetData>
    <x:row r="1" ht="15">
      <x:c r="A1" s="10" t="s">
        <x:v>167</x:v>
      </x:c>
      <x:c r="B1" s="10" t="s">
        <x:v>120</x:v>
      </x:c>
      <x:c r="C1" s="10" t="s">
        <x:v>184</x:v>
      </x:c>
      <x:c r="D1" s="10" t="s">
        <x:v>185</x:v>
      </x:c>
      <x:c r="E1" s="10" t="s">
        <x:v>186</x:v>
      </x:c>
      <x:c r="F1" s="10" t="s">
        <x:v>187</x:v>
      </x:c>
      <x:c r="G1" s="10" t="s">
        <x:v>124</x:v>
      </x:c>
    </x:row>
    <x:row r="2">
      <x:c r="A2" s="13">
        <x:v>2021</x:v>
      </x:c>
      <x:c r="B2" s="13" t="s">
        <x:v>125</x:v>
      </x:c>
      <x:c r="C2" s="13">
        <x:v>8</x:v>
      </x:c>
      <x:c r="D2" s="13">
        <x:v>8</x:v>
      </x:c>
      <x:c r="E2" s="13">
        <x:v>0</x:v>
      </x:c>
      <x:c r="F2" s="13">
        <x:v>0</x:v>
      </x:c>
      <x:c r="G2" s="13" t="s">
        <x:v>180</x:v>
      </x:c>
    </x:row>
    <x:row r="3">
      <x:c r="A3" s="13">
        <x:v>2021</x:v>
      </x:c>
      <x:c r="B3" s="13" t="s">
        <x:v>128</x:v>
      </x:c>
      <x:c r="C3" s="13">
        <x:v>25</x:v>
      </x:c>
      <x:c r="D3" s="13">
        <x:v>25</x:v>
      </x:c>
      <x:c r="E3" s="13">
        <x:v>0</x:v>
      </x:c>
      <x:c r="F3" s="13">
        <x:v>0</x:v>
      </x:c>
      <x:c r="G3" s="13" t="s">
        <x:v>180</x:v>
      </x:c>
    </x:row>
    <x:row r="4">
      <x:c r="A4" s="13">
        <x:v>2021</x:v>
      </x:c>
      <x:c r="B4" s="13" t="s">
        <x:v>131</x:v>
      </x:c>
      <x:c r="C4" s="13">
        <x:v>7</x:v>
      </x:c>
      <x:c r="D4" s="13">
        <x:v>7</x:v>
      </x:c>
      <x:c r="E4" s="13">
        <x:v>0</x:v>
      </x:c>
      <x:c r="F4" s="13">
        <x:v>0</x:v>
      </x:c>
      <x:c r="G4" s="13" t="s">
        <x:v>180</x:v>
      </x:c>
    </x:row>
    <x:row r="5">
      <x:c r="A5" s="13">
        <x:v>2021</x:v>
      </x:c>
      <x:c r="B5" s="13" t="s">
        <x:v>135</x:v>
      </x:c>
      <x:c r="C5" s="13">
        <x:v>5</x:v>
      </x:c>
      <x:c r="D5" s="13">
        <x:v>5</x:v>
      </x:c>
      <x:c r="E5" s="13">
        <x:v>0</x:v>
      </x:c>
      <x:c r="F5" s="13">
        <x:v>0</x:v>
      </x:c>
      <x:c r="G5" s="13" t="s">
        <x:v>180</x:v>
      </x:c>
    </x:row>
    <x:row r="6">
      <x:c r="A6" s="13">
        <x:v>2021</x:v>
      </x:c>
      <x:c r="B6" s="13" t="s">
        <x:v>138</x:v>
      </x:c>
      <x:c r="C6" s="13">
        <x:v>14</x:v>
      </x:c>
      <x:c r="D6" s="13">
        <x:v>14</x:v>
      </x:c>
      <x:c r="E6" s="13">
        <x:v>0</x:v>
      </x:c>
      <x:c r="F6" s="13">
        <x:v>0</x:v>
      </x:c>
      <x:c r="G6" s="13" t="s">
        <x:v>180</x:v>
      </x:c>
    </x:row>
    <x:row r="7">
      <x:c r="A7" s="13">
        <x:v>2021</x:v>
      </x:c>
      <x:c r="B7" s="13" t="s">
        <x:v>141</x:v>
      </x:c>
      <x:c r="C7" s="13">
        <x:v>5</x:v>
      </x:c>
      <x:c r="D7" s="13">
        <x:v>5</x:v>
      </x:c>
      <x:c r="E7" s="13">
        <x:v>0</x:v>
      </x:c>
      <x:c r="F7" s="13">
        <x:v>0</x:v>
      </x:c>
      <x:c r="G7" s="13" t="s">
        <x:v>180</x:v>
      </x:c>
    </x:row>
    <x:row r="8">
      <x:c r="A8" s="13">
        <x:v>2022</x:v>
      </x:c>
      <x:c r="B8" s="13" t="s">
        <x:v>125</x:v>
      </x:c>
      <x:c r="C8" s="13">
        <x:v>8</x:v>
      </x:c>
      <x:c r="D8" s="13">
        <x:v>8</x:v>
      </x:c>
      <x:c r="E8" s="13">
        <x:v>0</x:v>
      </x:c>
      <x:c r="F8" s="13">
        <x:v>0</x:v>
      </x:c>
      <x:c r="G8" s="13" t="s">
        <x:v>180</x:v>
      </x:c>
    </x:row>
    <x:row r="9">
      <x:c r="A9" s="13">
        <x:v>2022</x:v>
      </x:c>
      <x:c r="B9" s="13" t="s">
        <x:v>128</x:v>
      </x:c>
      <x:c r="C9" s="13">
        <x:v>27</x:v>
      </x:c>
      <x:c r="D9" s="13">
        <x:v>27</x:v>
      </x:c>
      <x:c r="E9" s="13">
        <x:v>0</x:v>
      </x:c>
      <x:c r="F9" s="13">
        <x:v>0</x:v>
      </x:c>
      <x:c r="G9" s="13" t="s">
        <x:v>180</x:v>
      </x:c>
    </x:row>
    <x:row r="10">
      <x:c r="A10" s="13">
        <x:v>2022</x:v>
      </x:c>
      <x:c r="B10" s="13" t="s">
        <x:v>131</x:v>
      </x:c>
      <x:c r="C10" s="13">
        <x:v>7</x:v>
      </x:c>
      <x:c r="D10" s="13">
        <x:v>7</x:v>
      </x:c>
      <x:c r="E10" s="13">
        <x:v>0</x:v>
      </x:c>
      <x:c r="F10" s="13">
        <x:v>0</x:v>
      </x:c>
      <x:c r="G10" s="13" t="s">
        <x:v>180</x:v>
      </x:c>
    </x:row>
    <x:row r="11">
      <x:c r="A11" s="13">
        <x:v>2022</x:v>
      </x:c>
      <x:c r="B11" s="13" t="s">
        <x:v>135</x:v>
      </x:c>
      <x:c r="C11" s="13">
        <x:v>5</x:v>
      </x:c>
      <x:c r="D11" s="13">
        <x:v>5</x:v>
      </x:c>
      <x:c r="E11" s="13">
        <x:v>0</x:v>
      </x:c>
      <x:c r="F11" s="13">
        <x:v>0</x:v>
      </x:c>
      <x:c r="G11" s="13" t="s">
        <x:v>180</x:v>
      </x:c>
    </x:row>
    <x:row r="12">
      <x:c r="A12" s="13">
        <x:v>2022</x:v>
      </x:c>
      <x:c r="B12" s="13" t="s">
        <x:v>138</x:v>
      </x:c>
      <x:c r="C12" s="13">
        <x:v>14</x:v>
      </x:c>
      <x:c r="D12" s="13">
        <x:v>14</x:v>
      </x:c>
      <x:c r="E12" s="13">
        <x:v>0</x:v>
      </x:c>
      <x:c r="F12" s="13">
        <x:v>0</x:v>
      </x:c>
      <x:c r="G12" s="13" t="s">
        <x:v>180</x:v>
      </x:c>
    </x:row>
    <x:row r="13">
      <x:c r="A13" s="13">
        <x:v>2022</x:v>
      </x:c>
      <x:c r="B13" s="13" t="s">
        <x:v>141</x:v>
      </x:c>
      <x:c r="C13" s="13">
        <x:v>5</x:v>
      </x:c>
      <x:c r="D13" s="13">
        <x:v>5</x:v>
      </x:c>
      <x:c r="E13" s="13">
        <x:v>0</x:v>
      </x:c>
      <x:c r="F13" s="13">
        <x:v>0</x:v>
      </x:c>
      <x:c r="G13" s="13" t="s">
        <x:v>180</x:v>
      </x:c>
    </x:row>
    <x:row r="14">
      <x:c r="A14" s="13">
        <x:v>2023</x:v>
      </x:c>
      <x:c r="B14" s="13" t="s">
        <x:v>125</x:v>
      </x:c>
      <x:c r="C14" s="13">
        <x:v>8</x:v>
      </x:c>
      <x:c r="D14" s="13">
        <x:v>8</x:v>
      </x:c>
      <x:c r="E14" s="13">
        <x:v>0</x:v>
      </x:c>
      <x:c r="F14" s="13">
        <x:v>0</x:v>
      </x:c>
      <x:c r="G14" s="13" t="s">
        <x:v>180</x:v>
      </x:c>
    </x:row>
    <x:row r="15">
      <x:c r="A15" s="13">
        <x:v>2023</x:v>
      </x:c>
      <x:c r="B15" s="13" t="s">
        <x:v>128</x:v>
      </x:c>
      <x:c r="C15" s="13">
        <x:v>30</x:v>
      </x:c>
      <x:c r="D15" s="13">
        <x:v>30</x:v>
      </x:c>
      <x:c r="E15" s="13">
        <x:v>0</x:v>
      </x:c>
      <x:c r="F15" s="13">
        <x:v>0</x:v>
      </x:c>
      <x:c r="G15" s="13" t="s">
        <x:v>180</x:v>
      </x:c>
    </x:row>
    <x:row r="16">
      <x:c r="A16" s="13">
        <x:v>2023</x:v>
      </x:c>
      <x:c r="B16" s="13" t="s">
        <x:v>131</x:v>
      </x:c>
      <x:c r="C16" s="13">
        <x:v>8</x:v>
      </x:c>
      <x:c r="D16" s="13">
        <x:v>8</x:v>
      </x:c>
      <x:c r="E16" s="13">
        <x:v>0</x:v>
      </x:c>
      <x:c r="F16" s="13">
        <x:v>0</x:v>
      </x:c>
      <x:c r="G16" s="13" t="s">
        <x:v>180</x:v>
      </x:c>
    </x:row>
    <x:row r="17">
      <x:c r="A17" s="13">
        <x:v>2023</x:v>
      </x:c>
      <x:c r="B17" s="13" t="s">
        <x:v>135</x:v>
      </x:c>
      <x:c r="C17" s="13">
        <x:v>5</x:v>
      </x:c>
      <x:c r="D17" s="13">
        <x:v>5</x:v>
      </x:c>
      <x:c r="E17" s="13">
        <x:v>0</x:v>
      </x:c>
      <x:c r="F17" s="13">
        <x:v>0</x:v>
      </x:c>
      <x:c r="G17" s="13" t="s">
        <x:v>180</x:v>
      </x:c>
    </x:row>
    <x:row r="18">
      <x:c r="A18" s="13">
        <x:v>2023</x:v>
      </x:c>
      <x:c r="B18" s="13" t="s">
        <x:v>138</x:v>
      </x:c>
      <x:c r="C18" s="13">
        <x:v>15</x:v>
      </x:c>
      <x:c r="D18" s="13">
        <x:v>15</x:v>
      </x:c>
      <x:c r="E18" s="13">
        <x:v>0</x:v>
      </x:c>
      <x:c r="F18" s="13">
        <x:v>0</x:v>
      </x:c>
      <x:c r="G18" s="13" t="s">
        <x:v>180</x:v>
      </x:c>
    </x:row>
    <x:row r="19">
      <x:c r="A19" s="13">
        <x:v>2023</x:v>
      </x:c>
      <x:c r="B19" s="13" t="s">
        <x:v>141</x:v>
      </x:c>
      <x:c r="C19" s="13">
        <x:v>5</x:v>
      </x:c>
      <x:c r="D19" s="13">
        <x:v>5</x:v>
      </x:c>
      <x:c r="E19" s="13">
        <x:v>0</x:v>
      </x:c>
      <x:c r="F19" s="13">
        <x:v>0</x:v>
      </x:c>
      <x:c r="G19" s="13" t="s">
        <x:v>180</x:v>
      </x:c>
    </x:row>
    <x:row r="20">
      <x:c r="A20" s="13">
        <x:v>2024</x:v>
      </x:c>
      <x:c r="B20" s="13" t="s">
        <x:v>125</x:v>
      </x:c>
      <x:c r="C20" s="13">
        <x:v>9</x:v>
      </x:c>
      <x:c r="D20" s="13">
        <x:v>9</x:v>
      </x:c>
      <x:c r="E20" s="13">
        <x:v>0</x:v>
      </x:c>
      <x:c r="F20" s="13">
        <x:v>0</x:v>
      </x:c>
      <x:c r="G20" s="13" t="s">
        <x:v>180</x:v>
      </x:c>
    </x:row>
    <x:row r="21">
      <x:c r="A21" s="13">
        <x:v>2024</x:v>
      </x:c>
      <x:c r="B21" s="13" t="s">
        <x:v>128</x:v>
      </x:c>
      <x:c r="C21" s="13">
        <x:v>37</x:v>
      </x:c>
      <x:c r="D21" s="13">
        <x:v>37</x:v>
      </x:c>
      <x:c r="E21" s="13">
        <x:v>0</x:v>
      </x:c>
      <x:c r="F21" s="13">
        <x:v>0</x:v>
      </x:c>
      <x:c r="G21" s="13" t="s">
        <x:v>180</x:v>
      </x:c>
    </x:row>
    <x:row r="22">
      <x:c r="A22" s="13">
        <x:v>2024</x:v>
      </x:c>
      <x:c r="B22" s="13" t="s">
        <x:v>131</x:v>
      </x:c>
      <x:c r="C22" s="13">
        <x:v>13</x:v>
      </x:c>
      <x:c r="D22" s="13">
        <x:v>13</x:v>
      </x:c>
      <x:c r="E22" s="13">
        <x:v>0</x:v>
      </x:c>
      <x:c r="F22" s="13">
        <x:v>0</x:v>
      </x:c>
      <x:c r="G22" s="13" t="s">
        <x:v>180</x:v>
      </x:c>
    </x:row>
    <x:row r="23">
      <x:c r="A23" s="13">
        <x:v>2024</x:v>
      </x:c>
      <x:c r="B23" s="13" t="s">
        <x:v>135</x:v>
      </x:c>
      <x:c r="C23" s="13">
        <x:v>7</x:v>
      </x:c>
      <x:c r="D23" s="13">
        <x:v>7</x:v>
      </x:c>
      <x:c r="E23" s="13">
        <x:v>0</x:v>
      </x:c>
      <x:c r="F23" s="13">
        <x:v>0</x:v>
      </x:c>
      <x:c r="G23" s="13" t="s">
        <x:v>180</x:v>
      </x:c>
    </x:row>
    <x:row r="24">
      <x:c r="A24" s="13">
        <x:v>2024</x:v>
      </x:c>
      <x:c r="B24" s="13" t="s">
        <x:v>138</x:v>
      </x:c>
      <x:c r="C24" s="13">
        <x:v>17</x:v>
      </x:c>
      <x:c r="D24" s="13">
        <x:v>17</x:v>
      </x:c>
      <x:c r="E24" s="13">
        <x:v>0</x:v>
      </x:c>
      <x:c r="F24" s="13">
        <x:v>0</x:v>
      </x:c>
      <x:c r="G24" s="13" t="s">
        <x:v>180</x:v>
      </x:c>
    </x:row>
    <x:row r="25">
      <x:c r="A25" s="13">
        <x:v>2024</x:v>
      </x:c>
      <x:c r="B25" s="13" t="s">
        <x:v>141</x:v>
      </x:c>
      <x:c r="C25" s="13">
        <x:v>5</x:v>
      </x:c>
      <x:c r="D25" s="13">
        <x:v>5</x:v>
      </x:c>
      <x:c r="E25" s="13">
        <x:v>0</x:v>
      </x:c>
      <x:c r="F25" s="13">
        <x:v>0</x:v>
      </x:c>
      <x:c r="G25" s="13" t="s">
        <x:v>180</x:v>
      </x:c>
    </x:row>
    <x:row r="26">
      <x:c r="A26" s="13">
        <x:v>2025</x:v>
      </x:c>
      <x:c r="B26" s="13" t="s">
        <x:v>125</x:v>
      </x:c>
      <x:c r="C26" s="13">
        <x:v>9</x:v>
      </x:c>
      <x:c r="D26" s="13">
        <x:v>9</x:v>
      </x:c>
      <x:c r="E26" s="13">
        <x:v>0</x:v>
      </x:c>
      <x:c r="F26" s="13">
        <x:v>0</x:v>
      </x:c>
      <x:c r="G26" s="13" t="s">
        <x:v>180</x:v>
      </x:c>
    </x:row>
    <x:row r="27">
      <x:c r="A27" s="13">
        <x:v>2025</x:v>
      </x:c>
      <x:c r="B27" s="13" t="s">
        <x:v>128</x:v>
      </x:c>
      <x:c r="C27" s="13">
        <x:v>29</x:v>
      </x:c>
      <x:c r="D27" s="13">
        <x:v>29</x:v>
      </x:c>
      <x:c r="E27" s="13">
        <x:v>1</x:v>
      </x:c>
      <x:c r="F27" s="13">
        <x:v>0</x:v>
      </x:c>
      <x:c r="G27" s="13" t="s">
        <x:v>180</x:v>
      </x:c>
    </x:row>
    <x:row r="28">
      <x:c r="A28" s="13">
        <x:v>2025</x:v>
      </x:c>
      <x:c r="B28" s="13" t="s">
        <x:v>131</x:v>
      </x:c>
      <x:c r="C28" s="13">
        <x:v>9</x:v>
      </x:c>
      <x:c r="D28" s="13">
        <x:v>9</x:v>
      </x:c>
      <x:c r="E28" s="13">
        <x:v>0</x:v>
      </x:c>
      <x:c r="F28" s="13">
        <x:v>0</x:v>
      </x:c>
      <x:c r="G28" s="13" t="s">
        <x:v>180</x:v>
      </x:c>
    </x:row>
    <x:row r="29">
      <x:c r="A29" s="13">
        <x:v>2025</x:v>
      </x:c>
      <x:c r="B29" s="13" t="s">
        <x:v>135</x:v>
      </x:c>
      <x:c r="C29" s="13">
        <x:v>6</x:v>
      </x:c>
      <x:c r="D29" s="13">
        <x:v>6</x:v>
      </x:c>
      <x:c r="E29" s="13">
        <x:v>0</x:v>
      </x:c>
      <x:c r="F29" s="13">
        <x:v>0</x:v>
      </x:c>
      <x:c r="G29" s="13" t="s">
        <x:v>180</x:v>
      </x:c>
    </x:row>
    <x:row r="30">
      <x:c r="A30" s="13">
        <x:v>2025</x:v>
      </x:c>
      <x:c r="B30" s="13" t="s">
        <x:v>138</x:v>
      </x:c>
      <x:c r="C30" s="13">
        <x:v>9</x:v>
      </x:c>
      <x:c r="D30" s="13">
        <x:v>9</x:v>
      </x:c>
      <x:c r="E30" s="13">
        <x:v>1</x:v>
      </x:c>
      <x:c r="F30" s="13">
        <x:v>0</x:v>
      </x:c>
      <x:c r="G30" s="13" t="s">
        <x:v>180</x:v>
      </x:c>
    </x:row>
    <x:row r="31">
      <x:c r="A31" s="13">
        <x:v>2026</x:v>
      </x:c>
      <x:c r="B31" s="13" t="s">
        <x:v>125</x:v>
      </x:c>
      <x:c r="C31" s="13">
        <x:v>10</x:v>
      </x:c>
      <x:c r="D31" s="13">
        <x:v>10</x:v>
      </x:c>
      <x:c r="E31" s="13">
        <x:v>1</x:v>
      </x:c>
      <x:c r="F31" s="13">
        <x:v>0</x:v>
      </x:c>
      <x:c r="G31" s="13" t="s">
        <x:v>183</x:v>
      </x:c>
    </x:row>
    <x:row r="32">
      <x:c r="A32" s="13">
        <x:v>2026</x:v>
      </x:c>
      <x:c r="B32" s="13" t="s">
        <x:v>128</x:v>
      </x:c>
      <x:c r="C32" s="13">
        <x:v>31</x:v>
      </x:c>
      <x:c r="D32" s="13">
        <x:v>31</x:v>
      </x:c>
      <x:c r="E32" s="13">
        <x:v>2</x:v>
      </x:c>
      <x:c r="F32" s="13">
        <x:v>0</x:v>
      </x:c>
      <x:c r="G32" s="13" t="s">
        <x:v>183</x:v>
      </x:c>
    </x:row>
    <x:row r="33">
      <x:c r="A33" s="13">
        <x:v>2026</x:v>
      </x:c>
      <x:c r="B33" s="13" t="s">
        <x:v>131</x:v>
      </x:c>
      <x:c r="C33" s="13">
        <x:v>9</x:v>
      </x:c>
      <x:c r="D33" s="13">
        <x:v>9</x:v>
      </x:c>
      <x:c r="E33" s="13">
        <x:v>0</x:v>
      </x:c>
      <x:c r="F33" s="13">
        <x:v>0</x:v>
      </x:c>
      <x:c r="G33" s="13" t="s">
        <x:v>183</x:v>
      </x:c>
    </x:row>
    <x:row r="34">
      <x:c r="A34" s="13">
        <x:v>2026</x:v>
      </x:c>
      <x:c r="B34" s="13" t="s">
        <x:v>135</x:v>
      </x:c>
      <x:c r="C34" s="13">
        <x:v>6</x:v>
      </x:c>
      <x:c r="D34" s="13">
        <x:v>6</x:v>
      </x:c>
      <x:c r="E34" s="13">
        <x:v>0</x:v>
      </x:c>
      <x:c r="F34" s="13">
        <x:v>0</x:v>
      </x:c>
      <x:c r="G34" s="13" t="s">
        <x:v>183</x:v>
      </x:c>
    </x:row>
    <x:row r="35">
      <x:c r="A35" s="13">
        <x:v>2026</x:v>
      </x:c>
      <x:c r="B35" s="13" t="s">
        <x:v>138</x:v>
      </x:c>
      <x:c r="C35" s="13">
        <x:v>10</x:v>
      </x:c>
      <x:c r="D35" s="13">
        <x:v>10</x:v>
      </x:c>
      <x:c r="E35" s="13">
        <x:v>1</x:v>
      </x:c>
      <x:c r="F35" s="13">
        <x:v>0</x:v>
      </x:c>
      <x:c r="G35" s="13" t="s">
        <x:v>183</x:v>
      </x:c>
    </x:row>
    <x:row r="36">
      <x:c r="A36" s="13">
        <x:v>2026</x:v>
      </x:c>
      <x:c r="B36" s="13" t="s">
        <x:v>141</x:v>
      </x:c>
      <x:c r="C36" s="13">
        <x:v>5</x:v>
      </x:c>
      <x:c r="D36" s="13">
        <x:v>5</x:v>
      </x:c>
      <x:c r="E36" s="13">
        <x:v>0</x:v>
      </x:c>
      <x:c r="F36" s="13">
        <x:v>0</x:v>
      </x:c>
      <x:c r="G36" s="13" t="s">
        <x:v>183</x:v>
      </x:c>
    </x:row>
  </x:sheetData>
  <x:pageMargins left="0.7" right="0.7" top="0.75" bottom="0.75" header="0.3" footer="0.3"/>
  <x:tableParts count="1">
    <x:tablePart xmlns:r="http://schemas.openxmlformats.org/officeDocument/2006/relationships" r:id="R402b803d0c4e495e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9" width="18" customWidth="1"/>
    <x:col min="10" max="10" width="30" customWidth="1"/>
  </x:cols>
  <x:sheetData>
    <x:row r="1" ht="30">
      <x:c r="A1" s="10" t="s">
        <x:v>167</x:v>
      </x:c>
      <x:c r="B1" s="10" t="s">
        <x:v>120</x:v>
      </x:c>
      <x:c r="C1" s="11" t="s">
        <x:v>188</x:v>
      </x:c>
      <x:c r="D1" s="11" t="s">
        <x:v>189</x:v>
      </x:c>
      <x:c r="E1" s="11" t="s">
        <x:v>190</x:v>
      </x:c>
      <x:c r="F1" s="11" t="s">
        <x:v>191</x:v>
      </x:c>
      <x:c r="G1" s="11" t="s">
        <x:v>192</x:v>
      </x:c>
      <x:c r="H1" s="11" t="s">
        <x:v>193</x:v>
      </x:c>
      <x:c r="I1" s="10" t="s">
        <x:v>194</x:v>
      </x:c>
      <x:c r="J1" s="10" t="s">
        <x:v>124</x:v>
      </x:c>
    </x:row>
    <x:row r="2">
      <x:c r="A2" s="13">
        <x:v>2021</x:v>
      </x:c>
      <x:c r="B2" s="13" t="s">
        <x:v>125</x:v>
      </x:c>
      <x:c r="C2" s="13">
        <x:v>540023600</x:v>
      </x:c>
      <x:c r="D2" s="13">
        <x:v>26342615</x:v>
      </x:c>
      <x:c r="E2" s="13">
        <x:v>39513922</x:v>
      </x:c>
      <x:c r="F2" s="13">
        <x:v>32928268</x:v>
      </x:c>
      <x:c r="G2" s="13">
        <x:v>19756961</x:v>
      </x:c>
      <x:c r="H2" s="13">
        <x:v>658565366</x:v>
      </x:c>
      <x:c r="I2" s="13" t="s">
        <x:v>195</x:v>
      </x:c>
      <x:c r="J2" s="13" t="s">
        <x:v>180</x:v>
      </x:c>
    </x:row>
    <x:row r="3">
      <x:c r="A3" s="13">
        <x:v>2021</x:v>
      </x:c>
      <x:c r="B3" s="13" t="s">
        <x:v>128</x:v>
      </x:c>
      <x:c r="C3" s="13">
        <x:v>1282480000</x:v>
      </x:c>
      <x:c r="D3" s="13">
        <x:v>62560000</x:v>
      </x:c>
      <x:c r="E3" s="13">
        <x:v>93840000</x:v>
      </x:c>
      <x:c r="F3" s="13">
        <x:v>78200000</x:v>
      </x:c>
      <x:c r="G3" s="13">
        <x:v>46920000</x:v>
      </x:c>
      <x:c r="H3" s="13">
        <x:v>1564000000</x:v>
      </x:c>
      <x:c r="I3" s="13" t="s">
        <x:v>195</x:v>
      </x:c>
      <x:c r="J3" s="13" t="s">
        <x:v>180</x:v>
      </x:c>
    </x:row>
    <x:row r="4">
      <x:c r="A4" s="13">
        <x:v>2021</x:v>
      </x:c>
      <x:c r="B4" s="13" t="s">
        <x:v>131</x:v>
      </x:c>
      <x:c r="C4" s="13">
        <x:v>283884130</x:v>
      </x:c>
      <x:c r="D4" s="13">
        <x:v>13848006</x:v>
      </x:c>
      <x:c r="E4" s="13">
        <x:v>20772009</x:v>
      </x:c>
      <x:c r="F4" s="13">
        <x:v>17310008</x:v>
      </x:c>
      <x:c r="G4" s="13">
        <x:v>10386005</x:v>
      </x:c>
      <x:c r="H4" s="13">
        <x:v>346200158</x:v>
      </x:c>
      <x:c r="I4" s="13" t="s">
        <x:v>195</x:v>
      </x:c>
      <x:c r="J4" s="13" t="s">
        <x:v>180</x:v>
      </x:c>
    </x:row>
    <x:row r="5">
      <x:c r="A5" s="13">
        <x:v>2021</x:v>
      </x:c>
      <x:c r="B5" s="13" t="s">
        <x:v>135</x:v>
      </x:c>
      <x:c r="C5" s="13">
        <x:v>228547260</x:v>
      </x:c>
      <x:c r="D5" s="13">
        <x:v>11148647</x:v>
      </x:c>
      <x:c r="E5" s="13">
        <x:v>16722970</x:v>
      </x:c>
      <x:c r="F5" s="13">
        <x:v>13935809</x:v>
      </x:c>
      <x:c r="G5" s="13">
        <x:v>8361485</x:v>
      </x:c>
      <x:c r="H5" s="13">
        <x:v>278716171</x:v>
      </x:c>
      <x:c r="I5" s="13" t="s">
        <x:v>195</x:v>
      </x:c>
      <x:c r="J5" s="13" t="s">
        <x:v>180</x:v>
      </x:c>
    </x:row>
    <x:row r="6">
      <x:c r="A6" s="13">
        <x:v>2021</x:v>
      </x:c>
      <x:c r="B6" s="13" t="s">
        <x:v>138</x:v>
      </x:c>
      <x:c r="C6" s="13">
        <x:v>554135015</x:v>
      </x:c>
      <x:c r="D6" s="13">
        <x:v>27030976</x:v>
      </x:c>
      <x:c r="E6" s="13">
        <x:v>40546464</x:v>
      </x:c>
      <x:c r="F6" s="13">
        <x:v>33788720</x:v>
      </x:c>
      <x:c r="G6" s="13">
        <x:v>20273233</x:v>
      </x:c>
      <x:c r="H6" s="13">
        <x:v>675774408</x:v>
      </x:c>
      <x:c r="I6" s="13" t="s">
        <x:v>195</x:v>
      </x:c>
      <x:c r="J6" s="13" t="s">
        <x:v>180</x:v>
      </x:c>
    </x:row>
    <x:row r="7">
      <x:c r="A7" s="13">
        <x:v>2021</x:v>
      </x:c>
      <x:c r="B7" s="13" t="s">
        <x:v>141</x:v>
      </x:c>
      <x:c r="C7" s="13">
        <x:v>308328772</x:v>
      </x:c>
      <x:c r="D7" s="13">
        <x:v>15040428</x:v>
      </x:c>
      <x:c r="E7" s="13">
        <x:v>22560642</x:v>
      </x:c>
      <x:c r="F7" s="13">
        <x:v>18800535</x:v>
      </x:c>
      <x:c r="G7" s="13">
        <x:v>11280321</x:v>
      </x:c>
      <x:c r="H7" s="13">
        <x:v>376010698</x:v>
      </x:c>
      <x:c r="I7" s="13" t="s">
        <x:v>195</x:v>
      </x:c>
      <x:c r="J7" s="13" t="s">
        <x:v>180</x:v>
      </x:c>
    </x:row>
    <x:row r="8">
      <x:c r="A8" s="13">
        <x:v>2022</x:v>
      </x:c>
      <x:c r="B8" s="13" t="s">
        <x:v>125</x:v>
      </x:c>
      <x:c r="C8" s="13">
        <x:v>557633066</x:v>
      </x:c>
      <x:c r="D8" s="13">
        <x:v>27201613</x:v>
      </x:c>
      <x:c r="E8" s="13">
        <x:v>40802419</x:v>
      </x:c>
      <x:c r="F8" s="13">
        <x:v>34002016</x:v>
      </x:c>
      <x:c r="G8" s="13">
        <x:v>20401210</x:v>
      </x:c>
      <x:c r="H8" s="13">
        <x:v>680040324</x:v>
      </x:c>
      <x:c r="I8" s="13" t="s">
        <x:v>195</x:v>
      </x:c>
      <x:c r="J8" s="13" t="s">
        <x:v>180</x:v>
      </x:c>
    </x:row>
    <x:row r="9">
      <x:c r="A9" s="13">
        <x:v>2022</x:v>
      </x:c>
      <x:c r="B9" s="13" t="s">
        <x:v>128</x:v>
      </x:c>
      <x:c r="C9" s="13">
        <x:v>1324300000</x:v>
      </x:c>
      <x:c r="D9" s="13">
        <x:v>64600000</x:v>
      </x:c>
      <x:c r="E9" s="13">
        <x:v>96900000</x:v>
      </x:c>
      <x:c r="F9" s="13">
        <x:v>80750000</x:v>
      </x:c>
      <x:c r="G9" s="13">
        <x:v>48450000</x:v>
      </x:c>
      <x:c r="H9" s="13">
        <x:v>1615000000</x:v>
      </x:c>
      <x:c r="I9" s="13" t="s">
        <x:v>195</x:v>
      </x:c>
      <x:c r="J9" s="13" t="s">
        <x:v>180</x:v>
      </x:c>
    </x:row>
    <x:row r="10">
      <x:c r="A10" s="13">
        <x:v>2022</x:v>
      </x:c>
      <x:c r="B10" s="13" t="s">
        <x:v>131</x:v>
      </x:c>
      <x:c r="C10" s="13">
        <x:v>293141221</x:v>
      </x:c>
      <x:c r="D10" s="13">
        <x:v>14299572</x:v>
      </x:c>
      <x:c r="E10" s="13">
        <x:v>21449358</x:v>
      </x:c>
      <x:c r="F10" s="13">
        <x:v>17874465</x:v>
      </x:c>
      <x:c r="G10" s="13">
        <x:v>10724678</x:v>
      </x:c>
      <x:c r="H10" s="13">
        <x:v>357489294</x:v>
      </x:c>
      <x:c r="I10" s="13" t="s">
        <x:v>195</x:v>
      </x:c>
      <x:c r="J10" s="13" t="s">
        <x:v>180</x:v>
      </x:c>
    </x:row>
    <x:row r="11">
      <x:c r="A11" s="13">
        <x:v>2022</x:v>
      </x:c>
      <x:c r="B11" s="13" t="s">
        <x:v>135</x:v>
      </x:c>
      <x:c r="C11" s="13">
        <x:v>235999888</x:v>
      </x:c>
      <x:c r="D11" s="13">
        <x:v>11512190</x:v>
      </x:c>
      <x:c r="E11" s="13">
        <x:v>17268285</x:v>
      </x:c>
      <x:c r="F11" s="13">
        <x:v>14390237</x:v>
      </x:c>
      <x:c r="G11" s="13">
        <x:v>8634142</x:v>
      </x:c>
      <x:c r="H11" s="13">
        <x:v>287804742</x:v>
      </x:c>
      <x:c r="I11" s="13" t="s">
        <x:v>195</x:v>
      </x:c>
      <x:c r="J11" s="13" t="s">
        <x:v>180</x:v>
      </x:c>
    </x:row>
    <x:row r="12">
      <x:c r="A12" s="13">
        <x:v>2022</x:v>
      </x:c>
      <x:c r="B12" s="13" t="s">
        <x:v>138</x:v>
      </x:c>
      <x:c r="C12" s="13">
        <x:v>572204635</x:v>
      </x:c>
      <x:c r="D12" s="13">
        <x:v>27912421</x:v>
      </x:c>
      <x:c r="E12" s="13">
        <x:v>41868632</x:v>
      </x:c>
      <x:c r="F12" s="13">
        <x:v>34890526</x:v>
      </x:c>
      <x:c r="G12" s="13">
        <x:v>20934316</x:v>
      </x:c>
      <x:c r="H12" s="13">
        <x:v>697810530</x:v>
      </x:c>
      <x:c r="I12" s="13" t="s">
        <x:v>195</x:v>
      </x:c>
      <x:c r="J12" s="13" t="s">
        <x:v>180</x:v>
      </x:c>
    </x:row>
    <x:row r="13">
      <x:c r="A13" s="13">
        <x:v>2022</x:v>
      </x:c>
      <x:c r="B13" s="13" t="s">
        <x:v>141</x:v>
      </x:c>
      <x:c r="C13" s="13">
        <x:v>318382971</x:v>
      </x:c>
      <x:c r="D13" s="13">
        <x:v>15530877</x:v>
      </x:c>
      <x:c r="E13" s="13">
        <x:v>23296315</x:v>
      </x:c>
      <x:c r="F13" s="13">
        <x:v>19413596</x:v>
      </x:c>
      <x:c r="G13" s="13">
        <x:v>11648157</x:v>
      </x:c>
      <x:c r="H13" s="13">
        <x:v>388271916</x:v>
      </x:c>
      <x:c r="I13" s="13" t="s">
        <x:v>195</x:v>
      </x:c>
      <x:c r="J13" s="13" t="s">
        <x:v>180</x:v>
      </x:c>
    </x:row>
    <x:row r="14">
      <x:c r="A14" s="13">
        <x:v>2023</x:v>
      </x:c>
      <x:c r="B14" s="13" t="s">
        <x:v>125</x:v>
      </x:c>
      <x:c r="C14" s="13">
        <x:v>586982174</x:v>
      </x:c>
      <x:c r="D14" s="13">
        <x:v>28633277</x:v>
      </x:c>
      <x:c r="E14" s="13">
        <x:v>42949915</x:v>
      </x:c>
      <x:c r="F14" s="13">
        <x:v>35791596</x:v>
      </x:c>
      <x:c r="G14" s="13">
        <x:v>21474958</x:v>
      </x:c>
      <x:c r="H14" s="13">
        <x:v>715831920</x:v>
      </x:c>
      <x:c r="I14" s="13" t="s">
        <x:v>195</x:v>
      </x:c>
      <x:c r="J14" s="13" t="s">
        <x:v>180</x:v>
      </x:c>
    </x:row>
    <x:row r="15">
      <x:c r="A15" s="13">
        <x:v>2023</x:v>
      </x:c>
      <x:c r="B15" s="13" t="s">
        <x:v>128</x:v>
      </x:c>
      <x:c r="C15" s="13">
        <x:v>1394000000</x:v>
      </x:c>
      <x:c r="D15" s="13">
        <x:v>68000000</x:v>
      </x:c>
      <x:c r="E15" s="13">
        <x:v>102000000</x:v>
      </x:c>
      <x:c r="F15" s="13">
        <x:v>85000000</x:v>
      </x:c>
      <x:c r="G15" s="13">
        <x:v>51000000</x:v>
      </x:c>
      <x:c r="H15" s="13">
        <x:v>1700000000</x:v>
      </x:c>
      <x:c r="I15" s="13" t="s">
        <x:v>195</x:v>
      </x:c>
      <x:c r="J15" s="13" t="s">
        <x:v>180</x:v>
      </x:c>
    </x:row>
    <x:row r="16">
      <x:c r="A16" s="13">
        <x:v>2023</x:v>
      </x:c>
      <x:c r="B16" s="13" t="s">
        <x:v>131</x:v>
      </x:c>
      <x:c r="C16" s="13">
        <x:v>308569706</x:v>
      </x:c>
      <x:c r="D16" s="13">
        <x:v>15052181</x:v>
      </x:c>
      <x:c r="E16" s="13">
        <x:v>22578271</x:v>
      </x:c>
      <x:c r="F16" s="13">
        <x:v>18815226</x:v>
      </x:c>
      <x:c r="G16" s="13">
        <x:v>11289136</x:v>
      </x:c>
      <x:c r="H16" s="13">
        <x:v>376304520</x:v>
      </x:c>
      <x:c r="I16" s="13" t="s">
        <x:v>195</x:v>
      </x:c>
      <x:c r="J16" s="13" t="s">
        <x:v>180</x:v>
      </x:c>
    </x:row>
    <x:row r="17">
      <x:c r="A17" s="13">
        <x:v>2023</x:v>
      </x:c>
      <x:c r="B17" s="13" t="s">
        <x:v>135</x:v>
      </x:c>
      <x:c r="C17" s="13">
        <x:v>248420935</x:v>
      </x:c>
      <x:c r="D17" s="13">
        <x:v>12118094</x:v>
      </x:c>
      <x:c r="E17" s="13">
        <x:v>18177142</x:v>
      </x:c>
      <x:c r="F17" s="13">
        <x:v>15147618</x:v>
      </x:c>
      <x:c r="G17" s="13">
        <x:v>9088571</x:v>
      </x:c>
      <x:c r="H17" s="13">
        <x:v>302952360</x:v>
      </x:c>
      <x:c r="I17" s="13" t="s">
        <x:v>195</x:v>
      </x:c>
      <x:c r="J17" s="13" t="s">
        <x:v>180</x:v>
      </x:c>
    </x:row>
    <x:row r="18">
      <x:c r="A18" s="13">
        <x:v>2023</x:v>
      </x:c>
      <x:c r="B18" s="13" t="s">
        <x:v>138</x:v>
      </x:c>
      <x:c r="C18" s="13">
        <x:v>602320668</x:v>
      </x:c>
      <x:c r="D18" s="13">
        <x:v>29381496</x:v>
      </x:c>
      <x:c r="E18" s="13">
        <x:v>44072244</x:v>
      </x:c>
      <x:c r="F18" s="13">
        <x:v>36726870</x:v>
      </x:c>
      <x:c r="G18" s="13">
        <x:v>22036122</x:v>
      </x:c>
      <x:c r="H18" s="13">
        <x:v>734537400</x:v>
      </x:c>
      <x:c r="I18" s="13" t="s">
        <x:v>195</x:v>
      </x:c>
      <x:c r="J18" s="13" t="s">
        <x:v>180</x:v>
      </x:c>
    </x:row>
    <x:row r="19">
      <x:c r="A19" s="13">
        <x:v>2023</x:v>
      </x:c>
      <x:c r="B19" s="13" t="s">
        <x:v>141</x:v>
      </x:c>
      <x:c r="C19" s="13">
        <x:v>335139970</x:v>
      </x:c>
      <x:c r="D19" s="13">
        <x:v>16348291</x:v>
      </x:c>
      <x:c r="E19" s="13">
        <x:v>24522437</x:v>
      </x:c>
      <x:c r="F19" s="13">
        <x:v>20435364</x:v>
      </x:c>
      <x:c r="G19" s="13">
        <x:v>12261218</x:v>
      </x:c>
      <x:c r="H19" s="13">
        <x:v>408707280</x:v>
      </x:c>
      <x:c r="I19" s="13" t="s">
        <x:v>195</x:v>
      </x:c>
      <x:c r="J19" s="13" t="s">
        <x:v>180</x:v>
      </x:c>
    </x:row>
    <x:row r="20">
      <x:c r="A20" s="13">
        <x:v>2024</x:v>
      </x:c>
      <x:c r="B20" s="13" t="s">
        <x:v>125</x:v>
      </x:c>
      <x:c r="C20" s="13">
        <x:v>628070926</x:v>
      </x:c>
      <x:c r="D20" s="13">
        <x:v>30637606</x:v>
      </x:c>
      <x:c r="E20" s="13">
        <x:v>45956409</x:v>
      </x:c>
      <x:c r="F20" s="13">
        <x:v>38297008</x:v>
      </x:c>
      <x:c r="G20" s="13">
        <x:v>22978205</x:v>
      </x:c>
      <x:c r="H20" s="13">
        <x:v>765940154</x:v>
      </x:c>
      <x:c r="I20" s="13" t="s">
        <x:v>195</x:v>
      </x:c>
      <x:c r="J20" s="13" t="s">
        <x:v>180</x:v>
      </x:c>
    </x:row>
    <x:row r="21">
      <x:c r="A21" s="13">
        <x:v>2024</x:v>
      </x:c>
      <x:c r="B21" s="13" t="s">
        <x:v>128</x:v>
      </x:c>
      <x:c r="C21" s="13">
        <x:v>1491580000</x:v>
      </x:c>
      <x:c r="D21" s="13">
        <x:v>72760000</x:v>
      </x:c>
      <x:c r="E21" s="13">
        <x:v>109140000</x:v>
      </x:c>
      <x:c r="F21" s="13">
        <x:v>90950000</x:v>
      </x:c>
      <x:c r="G21" s="13">
        <x:v>54570000</x:v>
      </x:c>
      <x:c r="H21" s="13">
        <x:v>1819000000</x:v>
      </x:c>
      <x:c r="I21" s="13" t="s">
        <x:v>195</x:v>
      </x:c>
      <x:c r="J21" s="13" t="s">
        <x:v>180</x:v>
      </x:c>
    </x:row>
    <x:row r="22">
      <x:c r="A22" s="13">
        <x:v>2024</x:v>
      </x:c>
      <x:c r="B22" s="13" t="s">
        <x:v>131</x:v>
      </x:c>
      <x:c r="C22" s="13">
        <x:v>330169586</x:v>
      </x:c>
      <x:c r="D22" s="13">
        <x:v>16105833</x:v>
      </x:c>
      <x:c r="E22" s="13">
        <x:v>24158750</x:v>
      </x:c>
      <x:c r="F22" s="13">
        <x:v>20132292</x:v>
      </x:c>
      <x:c r="G22" s="13">
        <x:v>12079375</x:v>
      </x:c>
      <x:c r="H22" s="13">
        <x:v>402645836</x:v>
      </x:c>
      <x:c r="I22" s="13" t="s">
        <x:v>195</x:v>
      </x:c>
      <x:c r="J22" s="13" t="s">
        <x:v>180</x:v>
      </x:c>
    </x:row>
    <x:row r="23">
      <x:c r="A23" s="13">
        <x:v>2024</x:v>
      </x:c>
      <x:c r="B23" s="13" t="s">
        <x:v>135</x:v>
      </x:c>
      <x:c r="C23" s="13">
        <x:v>265810400</x:v>
      </x:c>
      <x:c r="D23" s="13">
        <x:v>12966361</x:v>
      </x:c>
      <x:c r="E23" s="13">
        <x:v>19449542</x:v>
      </x:c>
      <x:c r="F23" s="13">
        <x:v>16207951</x:v>
      </x:c>
      <x:c r="G23" s="13">
        <x:v>9724771</x:v>
      </x:c>
      <x:c r="H23" s="13">
        <x:v>324159025</x:v>
      </x:c>
      <x:c r="I23" s="13" t="s">
        <x:v>195</x:v>
      </x:c>
      <x:c r="J23" s="13" t="s">
        <x:v>180</x:v>
      </x:c>
    </x:row>
    <x:row r="24">
      <x:c r="A24" s="13">
        <x:v>2024</x:v>
      </x:c>
      <x:c r="B24" s="13" t="s">
        <x:v>138</x:v>
      </x:c>
      <x:c r="C24" s="13">
        <x:v>644483115</x:v>
      </x:c>
      <x:c r="D24" s="13">
        <x:v>31438201</x:v>
      </x:c>
      <x:c r="E24" s="13">
        <x:v>47157301</x:v>
      </x:c>
      <x:c r="F24" s="13">
        <x:v>39297751</x:v>
      </x:c>
      <x:c r="G24" s="13">
        <x:v>23578650</x:v>
      </x:c>
      <x:c r="H24" s="13">
        <x:v>785955018</x:v>
      </x:c>
      <x:c r="I24" s="13" t="s">
        <x:v>195</x:v>
      </x:c>
      <x:c r="J24" s="13" t="s">
        <x:v>180</x:v>
      </x:c>
    </x:row>
    <x:row r="25">
      <x:c r="A25" s="13">
        <x:v>2024</x:v>
      </x:c>
      <x:c r="B25" s="13" t="s">
        <x:v>141</x:v>
      </x:c>
      <x:c r="C25" s="13">
        <x:v>358599768</x:v>
      </x:c>
      <x:c r="D25" s="13">
        <x:v>17492672</x:v>
      </x:c>
      <x:c r="E25" s="13">
        <x:v>26239007</x:v>
      </x:c>
      <x:c r="F25" s="13">
        <x:v>21865840</x:v>
      </x:c>
      <x:c r="G25" s="13">
        <x:v>13119503</x:v>
      </x:c>
      <x:c r="H25" s="13">
        <x:v>437316790</x:v>
      </x:c>
      <x:c r="I25" s="13" t="s">
        <x:v>195</x:v>
      </x:c>
      <x:c r="J25" s="13" t="s">
        <x:v>180</x:v>
      </x:c>
    </x:row>
    <x:row r="26">
      <x:c r="A26" s="13">
        <x:v>2025</x:v>
      </x:c>
      <x:c r="B26" s="13" t="s">
        <x:v>125</x:v>
      </x:c>
      <x:c r="C26" s="13">
        <x:v>586982174</x:v>
      </x:c>
      <x:c r="D26" s="13">
        <x:v>28633277</x:v>
      </x:c>
      <x:c r="E26" s="13">
        <x:v>42949915</x:v>
      </x:c>
      <x:c r="F26" s="13">
        <x:v>35791596</x:v>
      </x:c>
      <x:c r="G26" s="13">
        <x:v>21474958</x:v>
      </x:c>
      <x:c r="H26" s="13">
        <x:v>715831920</x:v>
      </x:c>
      <x:c r="I26" s="13" t="s">
        <x:v>195</x:v>
      </x:c>
      <x:c r="J26" s="13" t="s">
        <x:v>180</x:v>
      </x:c>
    </x:row>
    <x:row r="27">
      <x:c r="A27" s="13">
        <x:v>2025</x:v>
      </x:c>
      <x:c r="B27" s="13" t="s">
        <x:v>128</x:v>
      </x:c>
      <x:c r="C27" s="13">
        <x:v>1394000000</x:v>
      </x:c>
      <x:c r="D27" s="13">
        <x:v>68000000</x:v>
      </x:c>
      <x:c r="E27" s="13">
        <x:v>102000000</x:v>
      </x:c>
      <x:c r="F27" s="13">
        <x:v>85000000</x:v>
      </x:c>
      <x:c r="G27" s="13">
        <x:v>51000000</x:v>
      </x:c>
      <x:c r="H27" s="13">
        <x:v>1700000000</x:v>
      </x:c>
      <x:c r="I27" s="13" t="s">
        <x:v>195</x:v>
      </x:c>
      <x:c r="J27" s="13" t="s">
        <x:v>180</x:v>
      </x:c>
    </x:row>
    <x:row r="28">
      <x:c r="A28" s="13">
        <x:v>2025</x:v>
      </x:c>
      <x:c r="B28" s="13" t="s">
        <x:v>131</x:v>
      </x:c>
      <x:c r="C28" s="13">
        <x:v>308569706</x:v>
      </x:c>
      <x:c r="D28" s="13">
        <x:v>15052181</x:v>
      </x:c>
      <x:c r="E28" s="13">
        <x:v>22578271</x:v>
      </x:c>
      <x:c r="F28" s="13">
        <x:v>18815226</x:v>
      </x:c>
      <x:c r="G28" s="13">
        <x:v>11289136</x:v>
      </x:c>
      <x:c r="H28" s="13">
        <x:v>376304520</x:v>
      </x:c>
      <x:c r="I28" s="13" t="s">
        <x:v>195</x:v>
      </x:c>
      <x:c r="J28" s="13" t="s">
        <x:v>180</x:v>
      </x:c>
    </x:row>
    <x:row r="29">
      <x:c r="A29" s="13">
        <x:v>2025</x:v>
      </x:c>
      <x:c r="B29" s="13" t="s">
        <x:v>135</x:v>
      </x:c>
      <x:c r="C29" s="13">
        <x:v>248420935</x:v>
      </x:c>
      <x:c r="D29" s="13">
        <x:v>12118094</x:v>
      </x:c>
      <x:c r="E29" s="13">
        <x:v>18177142</x:v>
      </x:c>
      <x:c r="F29" s="13">
        <x:v>15147618</x:v>
      </x:c>
      <x:c r="G29" s="13">
        <x:v>9088571</x:v>
      </x:c>
      <x:c r="H29" s="13">
        <x:v>302952360</x:v>
      </x:c>
      <x:c r="I29" s="13" t="s">
        <x:v>195</x:v>
      </x:c>
      <x:c r="J29" s="13" t="s">
        <x:v>180</x:v>
      </x:c>
    </x:row>
    <x:row r="30">
      <x:c r="A30" s="13">
        <x:v>2025</x:v>
      </x:c>
      <x:c r="B30" s="13" t="s">
        <x:v>138</x:v>
      </x:c>
      <x:c r="C30" s="13">
        <x:v>602320668</x:v>
      </x:c>
      <x:c r="D30" s="13">
        <x:v>29381496</x:v>
      </x:c>
      <x:c r="E30" s="13">
        <x:v>44072244</x:v>
      </x:c>
      <x:c r="F30" s="13">
        <x:v>36726870</x:v>
      </x:c>
      <x:c r="G30" s="13">
        <x:v>22036122</x:v>
      </x:c>
      <x:c r="H30" s="13">
        <x:v>734537400</x:v>
      </x:c>
      <x:c r="I30" s="13" t="s">
        <x:v>195</x:v>
      </x:c>
      <x:c r="J30" s="13" t="s">
        <x:v>180</x:v>
      </x:c>
    </x:row>
    <x:row r="31">
      <x:c r="A31" s="13">
        <x:v>2025</x:v>
      </x:c>
      <x:c r="B31" s="13" t="s">
        <x:v>141</x:v>
      </x:c>
      <x:c r="C31" s="13">
        <x:v>335139970</x:v>
      </x:c>
      <x:c r="D31" s="13">
        <x:v>16348291</x:v>
      </x:c>
      <x:c r="E31" s="13">
        <x:v>24522437</x:v>
      </x:c>
      <x:c r="F31" s="13">
        <x:v>20435364</x:v>
      </x:c>
      <x:c r="G31" s="13">
        <x:v>12261218</x:v>
      </x:c>
      <x:c r="H31" s="13">
        <x:v>408707280</x:v>
      </x:c>
      <x:c r="I31" s="13" t="s">
        <x:v>195</x:v>
      </x:c>
      <x:c r="J31" s="13" t="s">
        <x:v>180</x:v>
      </x:c>
    </x:row>
    <x:row r="32">
      <x:c r="A32" s="13">
        <x:v>2026</x:v>
      </x:c>
      <x:c r="B32" s="13" t="s">
        <x:v>125</x:v>
      </x:c>
      <x:c r="C32" s="13">
        <x:v>633940749</x:v>
      </x:c>
      <x:c r="D32" s="13">
        <x:v>30923939</x:v>
      </x:c>
      <x:c r="E32" s="13">
        <x:v>46385908</x:v>
      </x:c>
      <x:c r="F32" s="13">
        <x:v>38654924</x:v>
      </x:c>
      <x:c r="G32" s="13">
        <x:v>23192954</x:v>
      </x:c>
      <x:c r="H32" s="13">
        <x:v>773098474</x:v>
      </x:c>
      <x:c r="I32" s="13" t="s">
        <x:v>195</x:v>
      </x:c>
      <x:c r="J32" s="13" t="s">
        <x:v>183</x:v>
      </x:c>
    </x:row>
    <x:row r="33">
      <x:c r="A33" s="13">
        <x:v>2026</x:v>
      </x:c>
      <x:c r="B33" s="13" t="s">
        <x:v>128</x:v>
      </x:c>
      <x:c r="C33" s="13">
        <x:v>1505520000</x:v>
      </x:c>
      <x:c r="D33" s="13">
        <x:v>73440000</x:v>
      </x:c>
      <x:c r="E33" s="13">
        <x:v>110160000</x:v>
      </x:c>
      <x:c r="F33" s="13">
        <x:v>91800000</x:v>
      </x:c>
      <x:c r="G33" s="13">
        <x:v>55080000</x:v>
      </x:c>
      <x:c r="H33" s="13">
        <x:v>1836000000</x:v>
      </x:c>
      <x:c r="I33" s="13" t="s">
        <x:v>195</x:v>
      </x:c>
      <x:c r="J33" s="13" t="s">
        <x:v>183</x:v>
      </x:c>
    </x:row>
    <x:row r="34">
      <x:c r="A34" s="13">
        <x:v>2026</x:v>
      </x:c>
      <x:c r="B34" s="13" t="s">
        <x:v>131</x:v>
      </x:c>
      <x:c r="C34" s="13">
        <x:v>333255283</x:v>
      </x:c>
      <x:c r="D34" s="13">
        <x:v>16256355</x:v>
      </x:c>
      <x:c r="E34" s="13">
        <x:v>24384533</x:v>
      </x:c>
      <x:c r="F34" s="13">
        <x:v>20320444</x:v>
      </x:c>
      <x:c r="G34" s="13">
        <x:v>12192267</x:v>
      </x:c>
      <x:c r="H34" s="13">
        <x:v>406408882</x:v>
      </x:c>
      <x:c r="I34" s="13" t="s">
        <x:v>195</x:v>
      </x:c>
      <x:c r="J34" s="13" t="s">
        <x:v>183</x:v>
      </x:c>
    </x:row>
    <x:row r="35">
      <x:c r="A35" s="13">
        <x:v>2026</x:v>
      </x:c>
      <x:c r="B35" s="13" t="s">
        <x:v>135</x:v>
      </x:c>
      <x:c r="C35" s="13">
        <x:v>268294610</x:v>
      </x:c>
      <x:c r="D35" s="13">
        <x:v>13087542</x:v>
      </x:c>
      <x:c r="E35" s="13">
        <x:v>19631313</x:v>
      </x:c>
      <x:c r="F35" s="13">
        <x:v>16359427</x:v>
      </x:c>
      <x:c r="G35" s="13">
        <x:v>9815657</x:v>
      </x:c>
      <x:c r="H35" s="13">
        <x:v>327188549</x:v>
      </x:c>
      <x:c r="I35" s="13" t="s">
        <x:v>195</x:v>
      </x:c>
      <x:c r="J35" s="13" t="s">
        <x:v>183</x:v>
      </x:c>
    </x:row>
    <x:row r="36">
      <x:c r="A36" s="13">
        <x:v>2026</x:v>
      </x:c>
      <x:c r="B36" s="13" t="s">
        <x:v>138</x:v>
      </x:c>
      <x:c r="C36" s="13">
        <x:v>650506321</x:v>
      </x:c>
      <x:c r="D36" s="13">
        <x:v>31732016</x:v>
      </x:c>
      <x:c r="E36" s="13">
        <x:v>47598024</x:v>
      </x:c>
      <x:c r="F36" s="13">
        <x:v>39665020</x:v>
      </x:c>
      <x:c r="G36" s="13">
        <x:v>23799011</x:v>
      </x:c>
      <x:c r="H36" s="13">
        <x:v>793300392</x:v>
      </x:c>
      <x:c r="I36" s="13" t="s">
        <x:v>195</x:v>
      </x:c>
      <x:c r="J36" s="13" t="s">
        <x:v>183</x:v>
      </x:c>
    </x:row>
    <x:row r="37">
      <x:c r="A37" s="13">
        <x:v>2026</x:v>
      </x:c>
      <x:c r="B37" s="13" t="s">
        <x:v>141</x:v>
      </x:c>
      <x:c r="C37" s="13">
        <x:v>361951167</x:v>
      </x:c>
      <x:c r="D37" s="13">
        <x:v>17656154</x:v>
      </x:c>
      <x:c r="E37" s="13">
        <x:v>26484232</x:v>
      </x:c>
      <x:c r="F37" s="13">
        <x:v>22070193</x:v>
      </x:c>
      <x:c r="G37" s="13">
        <x:v>13242116</x:v>
      </x:c>
      <x:c r="H37" s="13">
        <x:v>441403862</x:v>
      </x:c>
      <x:c r="I37" s="13" t="s">
        <x:v>195</x:v>
      </x:c>
      <x:c r="J37" s="13" t="s">
        <x:v>183</x:v>
      </x:c>
    </x:row>
  </x:sheetData>
  <x:dataValidations count="1">
    <x:dataValidation type="list" sqref="I2:I500">
      <x:formula1>"Payroll,Freelance,Contract,Outsource,Consultant"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ed4d52476743e4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7" width="20" customWidth="1"/>
  </x:cols>
  <x:sheetData>
    <x:row r="1" ht="30">
      <x:c r="A1" s="10" t="s">
        <x:v>167</x:v>
      </x:c>
      <x:c r="B1" s="10" t="s">
        <x:v>120</x:v>
      </x:c>
      <x:c r="C1" s="10" t="s">
        <x:v>196</x:v>
      </x:c>
      <x:c r="D1" s="10" t="s">
        <x:v>197</x:v>
      </x:c>
      <x:c r="E1" s="10" t="s">
        <x:v>198</x:v>
      </x:c>
      <x:c r="F1" s="10" t="s">
        <x:v>199</x:v>
      </x:c>
      <x:c r="G1" s="10" t="s">
        <x:v>124</x:v>
      </x:c>
    </x:row>
    <x:row r="2">
      <x:c r="A2" s="13">
        <x:v>2021</x:v>
      </x:c>
      <x:c r="B2" s="13" t="s">
        <x:v>125</x:v>
      </x:c>
      <x:c r="C2" s="13">
        <x:v>0</x:v>
      </x:c>
      <x:c r="D2" s="13">
        <x:v>0</x:v>
      </x:c>
      <x:c r="E2" s="13">
        <x:v>0</x:v>
      </x:c>
      <x:c r="F2" s="13">
        <x:v>0</x:v>
      </x:c>
      <x:c r="G2" s="13" t="s">
        <x:v>180</x:v>
      </x:c>
    </x:row>
    <x:row r="3">
      <x:c r="A3" s="13">
        <x:v>2021</x:v>
      </x:c>
      <x:c r="B3" s="13" t="s">
        <x:v>128</x:v>
      </x:c>
      <x:c r="C3" s="13">
        <x:v>0</x:v>
      </x:c>
      <x:c r="D3" s="13">
        <x:v>0</x:v>
      </x:c>
      <x:c r="E3" s="13">
        <x:v>0</x:v>
      </x:c>
      <x:c r="F3" s="13">
        <x:v>0</x:v>
      </x:c>
      <x:c r="G3" s="13" t="s">
        <x:v>180</x:v>
      </x:c>
    </x:row>
    <x:row r="4">
      <x:c r="A4" s="13">
        <x:v>2021</x:v>
      </x:c>
      <x:c r="B4" s="13" t="s">
        <x:v>131</x:v>
      </x:c>
      <x:c r="C4" s="13">
        <x:v>0</x:v>
      </x:c>
      <x:c r="D4" s="13">
        <x:v>0</x:v>
      </x:c>
      <x:c r="E4" s="13">
        <x:v>0</x:v>
      </x:c>
      <x:c r="F4" s="13">
        <x:v>0</x:v>
      </x:c>
      <x:c r="G4" s="13" t="s">
        <x:v>180</x:v>
      </x:c>
    </x:row>
    <x:row r="5">
      <x:c r="A5" s="13">
        <x:v>2021</x:v>
      </x:c>
      <x:c r="B5" s="13" t="s">
        <x:v>135</x:v>
      </x:c>
      <x:c r="C5" s="13">
        <x:v>0</x:v>
      </x:c>
      <x:c r="D5" s="13">
        <x:v>0</x:v>
      </x:c>
      <x:c r="E5" s="13">
        <x:v>0</x:v>
      </x:c>
      <x:c r="F5" s="13">
        <x:v>0</x:v>
      </x:c>
      <x:c r="G5" s="13" t="s">
        <x:v>180</x:v>
      </x:c>
    </x:row>
    <x:row r="6">
      <x:c r="A6" s="13">
        <x:v>2021</x:v>
      </x:c>
      <x:c r="B6" s="13" t="s">
        <x:v>138</x:v>
      </x:c>
      <x:c r="C6" s="13">
        <x:v>0</x:v>
      </x:c>
      <x:c r="D6" s="13">
        <x:v>0</x:v>
      </x:c>
      <x:c r="E6" s="13">
        <x:v>0</x:v>
      </x:c>
      <x:c r="F6" s="13">
        <x:v>0</x:v>
      </x:c>
      <x:c r="G6" s="13" t="s">
        <x:v>180</x:v>
      </x:c>
    </x:row>
    <x:row r="7">
      <x:c r="A7" s="13">
        <x:v>2021</x:v>
      </x:c>
      <x:c r="B7" s="13" t="s">
        <x:v>141</x:v>
      </x:c>
      <x:c r="C7" s="13">
        <x:v>0</x:v>
      </x:c>
      <x:c r="D7" s="13">
        <x:v>0</x:v>
      </x:c>
      <x:c r="E7" s="13">
        <x:v>0</x:v>
      </x:c>
      <x:c r="F7" s="13">
        <x:v>0</x:v>
      </x:c>
      <x:c r="G7" s="13" t="s">
        <x:v>180</x:v>
      </x:c>
    </x:row>
    <x:row r="8">
      <x:c r="A8" s="13">
        <x:v>2022</x:v>
      </x:c>
      <x:c r="B8" s="13" t="s">
        <x:v>125</x:v>
      </x:c>
      <x:c r="C8" s="13">
        <x:v>0</x:v>
      </x:c>
      <x:c r="D8" s="13">
        <x:v>0</x:v>
      </x:c>
      <x:c r="E8" s="13">
        <x:v>0</x:v>
      </x:c>
      <x:c r="F8" s="13">
        <x:v>0</x:v>
      </x:c>
      <x:c r="G8" s="13" t="s">
        <x:v>180</x:v>
      </x:c>
    </x:row>
    <x:row r="9">
      <x:c r="A9" s="13">
        <x:v>2022</x:v>
      </x:c>
      <x:c r="B9" s="13" t="s">
        <x:v>128</x:v>
      </x:c>
      <x:c r="C9" s="13">
        <x:v>0</x:v>
      </x:c>
      <x:c r="D9" s="13">
        <x:v>0</x:v>
      </x:c>
      <x:c r="E9" s="13">
        <x:v>0</x:v>
      </x:c>
      <x:c r="F9" s="13">
        <x:v>0</x:v>
      </x:c>
      <x:c r="G9" s="13" t="s">
        <x:v>180</x:v>
      </x:c>
    </x:row>
    <x:row r="10">
      <x:c r="A10" s="13">
        <x:v>2022</x:v>
      </x:c>
      <x:c r="B10" s="13" t="s">
        <x:v>131</x:v>
      </x:c>
      <x:c r="C10" s="13">
        <x:v>0</x:v>
      </x:c>
      <x:c r="D10" s="13">
        <x:v>0</x:v>
      </x:c>
      <x:c r="E10" s="13">
        <x:v>0</x:v>
      </x:c>
      <x:c r="F10" s="13">
        <x:v>0</x:v>
      </x:c>
      <x:c r="G10" s="13" t="s">
        <x:v>180</x:v>
      </x:c>
    </x:row>
    <x:row r="11">
      <x:c r="A11" s="13">
        <x:v>2022</x:v>
      </x:c>
      <x:c r="B11" s="13" t="s">
        <x:v>135</x:v>
      </x:c>
      <x:c r="C11" s="13">
        <x:v>0</x:v>
      </x:c>
      <x:c r="D11" s="13">
        <x:v>0</x:v>
      </x:c>
      <x:c r="E11" s="13">
        <x:v>0</x:v>
      </x:c>
      <x:c r="F11" s="13">
        <x:v>0</x:v>
      </x:c>
      <x:c r="G11" s="13" t="s">
        <x:v>180</x:v>
      </x:c>
    </x:row>
    <x:row r="12">
      <x:c r="A12" s="13">
        <x:v>2022</x:v>
      </x:c>
      <x:c r="B12" s="13" t="s">
        <x:v>138</x:v>
      </x:c>
      <x:c r="C12" s="13">
        <x:v>0</x:v>
      </x:c>
      <x:c r="D12" s="13">
        <x:v>0</x:v>
      </x:c>
      <x:c r="E12" s="13">
        <x:v>0</x:v>
      </x:c>
      <x:c r="F12" s="13">
        <x:v>0</x:v>
      </x:c>
      <x:c r="G12" s="13" t="s">
        <x:v>180</x:v>
      </x:c>
    </x:row>
    <x:row r="13">
      <x:c r="A13" s="13">
        <x:v>2022</x:v>
      </x:c>
      <x:c r="B13" s="13" t="s">
        <x:v>141</x:v>
      </x:c>
      <x:c r="C13" s="13">
        <x:v>0</x:v>
      </x:c>
      <x:c r="D13" s="13">
        <x:v>0</x:v>
      </x:c>
      <x:c r="E13" s="13">
        <x:v>0</x:v>
      </x:c>
      <x:c r="F13" s="13">
        <x:v>0</x:v>
      </x:c>
      <x:c r="G13" s="13" t="s">
        <x:v>180</x:v>
      </x:c>
    </x:row>
    <x:row r="14">
      <x:c r="A14" s="13">
        <x:v>2023</x:v>
      </x:c>
      <x:c r="B14" s="13" t="s">
        <x:v>125</x:v>
      </x:c>
      <x:c r="C14" s="13">
        <x:v>0</x:v>
      </x:c>
      <x:c r="D14" s="13">
        <x:v>0</x:v>
      </x:c>
      <x:c r="E14" s="13">
        <x:v>0</x:v>
      </x:c>
      <x:c r="F14" s="13">
        <x:v>0</x:v>
      </x:c>
      <x:c r="G14" s="13" t="s">
        <x:v>180</x:v>
      </x:c>
    </x:row>
    <x:row r="15">
      <x:c r="A15" s="13">
        <x:v>2023</x:v>
      </x:c>
      <x:c r="B15" s="13" t="s">
        <x:v>128</x:v>
      </x:c>
      <x:c r="C15" s="13">
        <x:v>0</x:v>
      </x:c>
      <x:c r="D15" s="13">
        <x:v>0</x:v>
      </x:c>
      <x:c r="E15" s="13">
        <x:v>0</x:v>
      </x:c>
      <x:c r="F15" s="13">
        <x:v>0</x:v>
      </x:c>
      <x:c r="G15" s="13" t="s">
        <x:v>180</x:v>
      </x:c>
    </x:row>
    <x:row r="16">
      <x:c r="A16" s="13">
        <x:v>2023</x:v>
      </x:c>
      <x:c r="B16" s="13" t="s">
        <x:v>131</x:v>
      </x:c>
      <x:c r="C16" s="13">
        <x:v>0</x:v>
      </x:c>
      <x:c r="D16" s="13">
        <x:v>0</x:v>
      </x:c>
      <x:c r="E16" s="13">
        <x:v>0</x:v>
      </x:c>
      <x:c r="F16" s="13">
        <x:v>0</x:v>
      </x:c>
      <x:c r="G16" s="13" t="s">
        <x:v>180</x:v>
      </x:c>
    </x:row>
    <x:row r="17">
      <x:c r="A17" s="13">
        <x:v>2023</x:v>
      </x:c>
      <x:c r="B17" s="13" t="s">
        <x:v>135</x:v>
      </x:c>
      <x:c r="C17" s="13">
        <x:v>0</x:v>
      </x:c>
      <x:c r="D17" s="13">
        <x:v>0</x:v>
      </x:c>
      <x:c r="E17" s="13">
        <x:v>0</x:v>
      </x:c>
      <x:c r="F17" s="13">
        <x:v>0</x:v>
      </x:c>
      <x:c r="G17" s="13" t="s">
        <x:v>180</x:v>
      </x:c>
    </x:row>
    <x:row r="18">
      <x:c r="A18" s="13">
        <x:v>2023</x:v>
      </x:c>
      <x:c r="B18" s="13" t="s">
        <x:v>138</x:v>
      </x:c>
      <x:c r="C18" s="13">
        <x:v>0</x:v>
      </x:c>
      <x:c r="D18" s="13">
        <x:v>0</x:v>
      </x:c>
      <x:c r="E18" s="13">
        <x:v>0</x:v>
      </x:c>
      <x:c r="F18" s="13">
        <x:v>0</x:v>
      </x:c>
      <x:c r="G18" s="13" t="s">
        <x:v>180</x:v>
      </x:c>
    </x:row>
    <x:row r="19">
      <x:c r="A19" s="13">
        <x:v>2023</x:v>
      </x:c>
      <x:c r="B19" s="13" t="s">
        <x:v>141</x:v>
      </x:c>
      <x:c r="C19" s="13">
        <x:v>0</x:v>
      </x:c>
      <x:c r="D19" s="13">
        <x:v>0</x:v>
      </x:c>
      <x:c r="E19" s="13">
        <x:v>0</x:v>
      </x:c>
      <x:c r="F19" s="13">
        <x:v>0</x:v>
      </x:c>
      <x:c r="G19" s="13" t="s">
        <x:v>180</x:v>
      </x:c>
    </x:row>
    <x:row r="20">
      <x:c r="A20" s="13">
        <x:v>2024</x:v>
      </x:c>
      <x:c r="B20" s="13" t="s">
        <x:v>125</x:v>
      </x:c>
      <x:c r="C20" s="13">
        <x:v>0</x:v>
      </x:c>
      <x:c r="D20" s="13">
        <x:v>0</x:v>
      </x:c>
      <x:c r="E20" s="13">
        <x:v>0</x:v>
      </x:c>
      <x:c r="F20" s="13">
        <x:v>0</x:v>
      </x:c>
      <x:c r="G20" s="13" t="s">
        <x:v>180</x:v>
      </x:c>
    </x:row>
    <x:row r="21">
      <x:c r="A21" s="13">
        <x:v>2024</x:v>
      </x:c>
      <x:c r="B21" s="13" t="s">
        <x:v>128</x:v>
      </x:c>
      <x:c r="C21" s="13">
        <x:v>1</x:v>
      </x:c>
      <x:c r="D21" s="13">
        <x:v>0</x:v>
      </x:c>
      <x:c r="E21" s="13">
        <x:v>0</x:v>
      </x:c>
      <x:c r="F21" s="13">
        <x:v>0</x:v>
      </x:c>
      <x:c r="G21" s="13" t="s">
        <x:v>180</x:v>
      </x:c>
    </x:row>
    <x:row r="22">
      <x:c r="A22" s="13">
        <x:v>2024</x:v>
      </x:c>
      <x:c r="B22" s="13" t="s">
        <x:v>131</x:v>
      </x:c>
      <x:c r="C22" s="13">
        <x:v>0</x:v>
      </x:c>
      <x:c r="D22" s="13">
        <x:v>0</x:v>
      </x:c>
      <x:c r="E22" s="13">
        <x:v>0</x:v>
      </x:c>
      <x:c r="F22" s="13">
        <x:v>0</x:v>
      </x:c>
      <x:c r="G22" s="13" t="s">
        <x:v>180</x:v>
      </x:c>
    </x:row>
    <x:row r="23">
      <x:c r="A23" s="13">
        <x:v>2024</x:v>
      </x:c>
      <x:c r="B23" s="13" t="s">
        <x:v>135</x:v>
      </x:c>
      <x:c r="C23" s="13">
        <x:v>0</x:v>
      </x:c>
      <x:c r="D23" s="13">
        <x:v>0</x:v>
      </x:c>
      <x:c r="E23" s="13">
        <x:v>0</x:v>
      </x:c>
      <x:c r="F23" s="13">
        <x:v>0</x:v>
      </x:c>
      <x:c r="G23" s="13" t="s">
        <x:v>180</x:v>
      </x:c>
    </x:row>
    <x:row r="24">
      <x:c r="A24" s="13">
        <x:v>2024</x:v>
      </x:c>
      <x:c r="B24" s="13" t="s">
        <x:v>138</x:v>
      </x:c>
      <x:c r="C24" s="13">
        <x:v>1</x:v>
      </x:c>
      <x:c r="D24" s="13">
        <x:v>0</x:v>
      </x:c>
      <x:c r="E24" s="13">
        <x:v>0</x:v>
      </x:c>
      <x:c r="F24" s="13">
        <x:v>0</x:v>
      </x:c>
      <x:c r="G24" s="13" t="s">
        <x:v>180</x:v>
      </x:c>
    </x:row>
    <x:row r="25">
      <x:c r="A25" s="13">
        <x:v>2024</x:v>
      </x:c>
      <x:c r="B25" s="13" t="s">
        <x:v>141</x:v>
      </x:c>
      <x:c r="C25" s="13">
        <x:v>0</x:v>
      </x:c>
      <x:c r="D25" s="13">
        <x:v>0</x:v>
      </x:c>
      <x:c r="E25" s="13">
        <x:v>0</x:v>
      </x:c>
      <x:c r="F25" s="13">
        <x:v>0</x:v>
      </x:c>
      <x:c r="G25" s="13" t="s">
        <x:v>180</x:v>
      </x:c>
    </x:row>
    <x:row r="26">
      <x:c r="A26" s="13">
        <x:v>2025</x:v>
      </x:c>
      <x:c r="B26" s="13" t="s">
        <x:v>125</x:v>
      </x:c>
      <x:c r="C26" s="13">
        <x:v>0</x:v>
      </x:c>
      <x:c r="D26" s="13">
        <x:v>0</x:v>
      </x:c>
      <x:c r="E26" s="13">
        <x:v>0</x:v>
      </x:c>
      <x:c r="F26" s="13">
        <x:v>0</x:v>
      </x:c>
      <x:c r="G26" s="13" t="s">
        <x:v>180</x:v>
      </x:c>
    </x:row>
    <x:row r="27">
      <x:c r="A27" s="13">
        <x:v>2025</x:v>
      </x:c>
      <x:c r="B27" s="13" t="s">
        <x:v>128</x:v>
      </x:c>
      <x:c r="C27" s="13">
        <x:v>1</x:v>
      </x:c>
      <x:c r="D27" s="13">
        <x:v>0</x:v>
      </x:c>
      <x:c r="E27" s="13">
        <x:v>0</x:v>
      </x:c>
      <x:c r="F27" s="13">
        <x:v>0</x:v>
      </x:c>
      <x:c r="G27" s="13" t="s">
        <x:v>180</x:v>
      </x:c>
    </x:row>
    <x:row r="28">
      <x:c r="A28" s="13">
        <x:v>2025</x:v>
      </x:c>
      <x:c r="B28" s="13" t="s">
        <x:v>131</x:v>
      </x:c>
      <x:c r="C28" s="13">
        <x:v>0</x:v>
      </x:c>
      <x:c r="D28" s="13">
        <x:v>0</x:v>
      </x:c>
      <x:c r="E28" s="13">
        <x:v>0</x:v>
      </x:c>
      <x:c r="F28" s="13">
        <x:v>0</x:v>
      </x:c>
      <x:c r="G28" s="13" t="s">
        <x:v>180</x:v>
      </x:c>
    </x:row>
    <x:row r="29">
      <x:c r="A29" s="13">
        <x:v>2025</x:v>
      </x:c>
      <x:c r="B29" s="13" t="s">
        <x:v>135</x:v>
      </x:c>
      <x:c r="C29" s="13">
        <x:v>0</x:v>
      </x:c>
      <x:c r="D29" s="13">
        <x:v>0</x:v>
      </x:c>
      <x:c r="E29" s="13">
        <x:v>0</x:v>
      </x:c>
      <x:c r="F29" s="13">
        <x:v>0</x:v>
      </x:c>
      <x:c r="G29" s="13" t="s">
        <x:v>180</x:v>
      </x:c>
    </x:row>
    <x:row r="30">
      <x:c r="A30" s="13">
        <x:v>2025</x:v>
      </x:c>
      <x:c r="B30" s="13" t="s">
        <x:v>138</x:v>
      </x:c>
      <x:c r="C30" s="13">
        <x:v>1</x:v>
      </x:c>
      <x:c r="D30" s="13">
        <x:v>0</x:v>
      </x:c>
      <x:c r="E30" s="13">
        <x:v>0</x:v>
      </x:c>
      <x:c r="F30" s="13">
        <x:v>0</x:v>
      </x:c>
      <x:c r="G30" s="13" t="s">
        <x:v>180</x:v>
      </x:c>
    </x:row>
    <x:row r="31">
      <x:c r="A31" s="13">
        <x:v>2025</x:v>
      </x:c>
      <x:c r="B31" s="13" t="s">
        <x:v>141</x:v>
      </x:c>
      <x:c r="C31" s="13">
        <x:v>0</x:v>
      </x:c>
      <x:c r="D31" s="13">
        <x:v>0</x:v>
      </x:c>
      <x:c r="E31" s="13">
        <x:v>0</x:v>
      </x:c>
      <x:c r="F31" s="13">
        <x:v>0</x:v>
      </x:c>
      <x:c r="G31" s="13" t="s">
        <x:v>180</x:v>
      </x:c>
    </x:row>
    <x:row r="32">
      <x:c r="A32" s="13">
        <x:v>2026</x:v>
      </x:c>
      <x:c r="B32" s="13" t="s">
        <x:v>125</x:v>
      </x:c>
      <x:c r="C32" s="13">
        <x:v>1</x:v>
      </x:c>
      <x:c r="D32" s="13">
        <x:v>0</x:v>
      </x:c>
      <x:c r="E32" s="13">
        <x:v>0</x:v>
      </x:c>
      <x:c r="F32" s="13">
        <x:v>0</x:v>
      </x:c>
      <x:c r="G32" s="13" t="s">
        <x:v>183</x:v>
      </x:c>
    </x:row>
    <x:row r="33">
      <x:c r="A33" s="13">
        <x:v>2026</x:v>
      </x:c>
      <x:c r="B33" s="13" t="s">
        <x:v>128</x:v>
      </x:c>
      <x:c r="C33" s="13">
        <x:v>2</x:v>
      </x:c>
      <x:c r="D33" s="13">
        <x:v>0</x:v>
      </x:c>
      <x:c r="E33" s="13">
        <x:v>0</x:v>
      </x:c>
      <x:c r="F33" s="13">
        <x:v>0</x:v>
      </x:c>
      <x:c r="G33" s="13" t="s">
        <x:v>183</x:v>
      </x:c>
    </x:row>
    <x:row r="34">
      <x:c r="A34" s="13">
        <x:v>2026</x:v>
      </x:c>
      <x:c r="B34" s="13" t="s">
        <x:v>131</x:v>
      </x:c>
      <x:c r="C34" s="13">
        <x:v>0</x:v>
      </x:c>
      <x:c r="D34" s="13">
        <x:v>0</x:v>
      </x:c>
      <x:c r="E34" s="13">
        <x:v>0</x:v>
      </x:c>
      <x:c r="F34" s="13">
        <x:v>0</x:v>
      </x:c>
      <x:c r="G34" s="13" t="s">
        <x:v>183</x:v>
      </x:c>
    </x:row>
    <x:row r="35">
      <x:c r="A35" s="13">
        <x:v>2026</x:v>
      </x:c>
      <x:c r="B35" s="13" t="s">
        <x:v>135</x:v>
      </x:c>
      <x:c r="C35" s="13">
        <x:v>0</x:v>
      </x:c>
      <x:c r="D35" s="13">
        <x:v>0</x:v>
      </x:c>
      <x:c r="E35" s="13">
        <x:v>0</x:v>
      </x:c>
      <x:c r="F35" s="13">
        <x:v>0</x:v>
      </x:c>
      <x:c r="G35" s="13" t="s">
        <x:v>183</x:v>
      </x:c>
    </x:row>
    <x:row r="36">
      <x:c r="A36" s="13">
        <x:v>2026</x:v>
      </x:c>
      <x:c r="B36" s="13" t="s">
        <x:v>138</x:v>
      </x:c>
      <x:c r="C36" s="13">
        <x:v>1</x:v>
      </x:c>
      <x:c r="D36" s="13">
        <x:v>0</x:v>
      </x:c>
      <x:c r="E36" s="13">
        <x:v>0</x:v>
      </x:c>
      <x:c r="F36" s="13">
        <x:v>0</x:v>
      </x:c>
      <x:c r="G36" s="13" t="s">
        <x:v>183</x:v>
      </x:c>
    </x:row>
    <x:row r="37">
      <x:c r="A37" s="13">
        <x:v>2026</x:v>
      </x:c>
      <x:c r="B37" s="13" t="s">
        <x:v>141</x:v>
      </x:c>
      <x:c r="C37" s="13">
        <x:v>0</x:v>
      </x:c>
      <x:c r="D37" s="13">
        <x:v>0</x:v>
      </x:c>
      <x:c r="E37" s="13">
        <x:v>0</x:v>
      </x:c>
      <x:c r="F37" s="13">
        <x:v>0</x:v>
      </x:c>
      <x:c r="G37" s="13" t="s">
        <x:v>183</x:v>
      </x:c>
    </x:row>
  </x:sheetData>
  <x:pageMargins left="0.7" right="0.7" top="0.75" bottom="0.75" header="0.3" footer="0.3"/>
  <x:tableParts count="1">
    <x:tablePart xmlns:r="http://schemas.openxmlformats.org/officeDocument/2006/relationships" r:id="Ra481cd1b2d4f410b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2" width="20" customWidth="1"/>
    <x:col min="3" max="4" width="24" customWidth="1"/>
    <x:col min="5" max="10" width="20" customWidth="1"/>
  </x:cols>
  <x:sheetData>
    <x:row r="1" ht="15">
      <x:c r="A1" s="10" t="s">
        <x:v>167</x:v>
      </x:c>
      <x:c r="B1" s="10" t="s">
        <x:v>200</x:v>
      </x:c>
      <x:c r="C1" s="10" t="s">
        <x:v>201</x:v>
      </x:c>
      <x:c r="D1" s="10" t="s">
        <x:v>168</x:v>
      </x:c>
      <x:c r="E1" s="11" t="s">
        <x:v>202</x:v>
      </x:c>
      <x:c r="F1" s="11" t="s">
        <x:v>203</x:v>
      </x:c>
      <x:c r="G1" s="11" t="s">
        <x:v>171</x:v>
      </x:c>
      <x:c r="H1" s="12" t="s">
        <x:v>172</x:v>
      </x:c>
      <x:c r="I1" s="10" t="s">
        <x:v>204</x:v>
      </x:c>
      <x:c r="J1" s="10" t="s">
        <x:v>124</x:v>
      </x:c>
    </x:row>
    <x:row r="2">
      <x:c r="A2" s="13">
        <x:v>2025</x:v>
      </x:c>
      <x:c r="B2" s="13" t="s">
        <x:v>205</x:v>
      </x:c>
      <x:c r="C2" s="13" t="s">
        <x:v>206</x:v>
      </x:c>
      <x:c r="D2" s="13" t="s">
        <x:v>207</x:v>
      </x:c>
      <x:c r="E2" s="13">
        <x:v>25000000000</x:v>
      </x:c>
      <x:c r="F2" s="13">
        <x:v>19000000000</x:v>
      </x:c>
      <x:c r="G2" s="13" t="n">
        <x:f t="shared" ref="G2:G7" si="0">E2-F2</x:f>
        <x:v>6000000000</x:v>
      </x:c>
      <x:c r="H2" s="13" t="n">
        <x:f t="shared" ref="H2:H7" si="1">IF(E2&gt;0,G2/E2,"")</x:f>
        <x:v>0.24</x:v>
      </x:c>
      <x:c r="I2" s="13" t="s">
        <x:v>208</x:v>
      </x:c>
      <x:c r="J2" s="13" t="s">
        <x:v>180</x:v>
      </x:c>
    </x:row>
    <x:row r="3">
      <x:c r="A3" s="13">
        <x:v>2025</x:v>
      </x:c>
      <x:c r="B3" s="13" t="s">
        <x:v>209</x:v>
      </x:c>
      <x:c r="C3" s="13" t="s">
        <x:v>210</x:v>
      </x:c>
      <x:c r="D3" s="13" t="s">
        <x:v>211</x:v>
      </x:c>
      <x:c r="E3" s="13">
        <x:v>18000000000</x:v>
      </x:c>
      <x:c r="F3" s="13">
        <x:v>14200000000</x:v>
      </x:c>
      <x:c r="G3" s="13">
        <x:f t="shared" si="0"/>
        <x:v>3800000000</x:v>
      </x:c>
      <x:c r="H3" s="13">
        <x:f t="shared" si="1"/>
        <x:v>0.21111111111111111</x:v>
      </x:c>
      <x:c r="I3" s="13" t="s">
        <x:v>212</x:v>
      </x:c>
      <x:c r="J3" s="13" t="s">
        <x:v>180</x:v>
      </x:c>
    </x:row>
    <x:row r="4">
      <x:c r="A4" s="13">
        <x:v>2025</x:v>
      </x:c>
      <x:c r="B4" s="13" t="s">
        <x:v>213</x:v>
      </x:c>
      <x:c r="C4" s="13" t="s">
        <x:v>214</x:v>
      </x:c>
      <x:c r="D4" s="13" t="s">
        <x:v>215</x:v>
      </x:c>
      <x:c r="E4" s="13">
        <x:v>12000000000</x:v>
      </x:c>
      <x:c r="F4" s="13">
        <x:v>8900000000</x:v>
      </x:c>
      <x:c r="G4" s="13">
        <x:f t="shared" si="0"/>
        <x:v>3100000000</x:v>
      </x:c>
      <x:c r="H4" s="13">
        <x:f t="shared" si="1"/>
        <x:v>0.25833333333333336</x:v>
      </x:c>
      <x:c r="I4" s="13" t="s">
        <x:v>208</x:v>
      </x:c>
      <x:c r="J4" s="13" t="s">
        <x:v>180</x:v>
      </x:c>
    </x:row>
    <x:row r="5">
      <x:c r="A5" s="13">
        <x:v>2026</x:v>
      </x:c>
      <x:c r="B5" s="13" t="s">
        <x:v>216</x:v>
      </x:c>
      <x:c r="C5" s="13" t="s">
        <x:v>217</x:v>
      </x:c>
      <x:c r="D5" s="13" t="s">
        <x:v>207</x:v>
      </x:c>
      <x:c r="E5" s="13">
        <x:v>31000000000</x:v>
      </x:c>
      <x:c r="F5" s="13">
        <x:v>22400000000</x:v>
      </x:c>
      <x:c r="G5" s="13">
        <x:f t="shared" si="0"/>
        <x:v>8600000000</x:v>
      </x:c>
      <x:c r="H5" s="13">
        <x:f t="shared" si="1"/>
        <x:v>0.27741935483870966</x:v>
      </x:c>
      <x:c r="I5" s="13" t="s">
        <x:v>208</x:v>
      </x:c>
      <x:c r="J5" s="13" t="s">
        <x:v>183</x:v>
      </x:c>
    </x:row>
    <x:row r="6">
      <x:c r="A6" s="13">
        <x:v>2026</x:v>
      </x:c>
      <x:c r="B6" s="13" t="s">
        <x:v>218</x:v>
      </x:c>
      <x:c r="C6" s="13" t="s">
        <x:v>219</x:v>
      </x:c>
      <x:c r="D6" s="13" t="s">
        <x:v>211</x:v>
      </x:c>
      <x:c r="E6" s="13">
        <x:v>21000000000</x:v>
      </x:c>
      <x:c r="F6" s="13">
        <x:v>15800000000</x:v>
      </x:c>
      <x:c r="G6" s="13">
        <x:f t="shared" si="0"/>
        <x:v>5200000000</x:v>
      </x:c>
      <x:c r="H6" s="13">
        <x:f t="shared" si="1"/>
        <x:v>0.24761904761904763</x:v>
      </x:c>
      <x:c r="I6" s="13" t="s">
        <x:v>208</x:v>
      </x:c>
      <x:c r="J6" s="13" t="s">
        <x:v>183</x:v>
      </x:c>
    </x:row>
    <x:row r="7">
      <x:c r="A7" s="13">
        <x:v>2026</x:v>
      </x:c>
      <x:c r="B7" s="13" t="s">
        <x:v>220</x:v>
      </x:c>
      <x:c r="C7" s="13" t="s">
        <x:v>221</x:v>
      </x:c>
      <x:c r="D7" s="13" t="s">
        <x:v>215</x:v>
      </x:c>
      <x:c r="E7" s="13">
        <x:v>14500000000</x:v>
      </x:c>
      <x:c r="F7" s="13">
        <x:v>10500000000</x:v>
      </x:c>
      <x:c r="G7" s="13">
        <x:f t="shared" si="0"/>
        <x:v>4000000000</x:v>
      </x:c>
      <x:c r="H7" s="13">
        <x:f t="shared" si="1"/>
        <x:v>0.27586206896551724</x:v>
      </x:c>
      <x:c r="I7" s="13" t="s">
        <x:v>208</x:v>
      </x:c>
      <x:c r="J7" s="13" t="s">
        <x:v>183</x:v>
      </x:c>
    </x:row>
  </x:sheetData>
  <x:dataValidations count="1">
    <x:dataValidation type="list" sqref="I2:I500">
      <x:formula1>"Active,Closed,On Hold,Cancelled"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25d7cc30e24b0c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0" width="20" customWidth="1"/>
  </x:cols>
  <x:sheetData>
    <x:row r="1" ht="30">
      <x:c r="A1" s="10" t="s">
        <x:v>167</x:v>
      </x:c>
      <x:c r="B1" s="10" t="s">
        <x:v>120</x:v>
      </x:c>
      <x:c r="C1" s="12" t="s">
        <x:v>222</x:v>
      </x:c>
      <x:c r="D1" s="10" t="s">
        <x:v>223</x:v>
      </x:c>
      <x:c r="E1" s="10" t="s">
        <x:v>224</x:v>
      </x:c>
      <x:c r="F1" s="10" t="s">
        <x:v>225</x:v>
      </x:c>
      <x:c r="G1" s="10" t="s">
        <x:v>226</x:v>
      </x:c>
      <x:c r="H1" s="10" t="s">
        <x:v>227</x:v>
      </x:c>
      <x:c r="I1" s="10" t="s">
        <x:v>228</x:v>
      </x:c>
      <x:c r="J1" s="10" t="s">
        <x:v>124</x:v>
      </x:c>
    </x:row>
    <x:row r="2">
      <x:c r="A2" s="13">
        <x:v>2021</x:v>
      </x:c>
      <x:c r="B2" s="13" t="s">
        <x:v>125</x:v>
      </x:c>
      <x:c r="C2" s="13">
        <x:v>0.78</x:v>
      </x:c>
      <x:c r="D2" s="13">
        <x:v>120</x:v>
      </x:c>
      <x:c r="E2" s="13">
        <x:v>8</x:v>
      </x:c>
      <x:c r="F2" s="13">
        <x:v>0</x:v>
      </x:c>
      <x:c r="G2" s="13">
        <x:v>2</x:v>
      </x:c>
      <x:c r="H2" s="13">
        <x:v>0</x:v>
      </x:c>
      <x:c r="I2" s="13" t="s">
        <x:v>229</x:v>
      </x:c>
      <x:c r="J2" s="13" t="s">
        <x:v>180</x:v>
      </x:c>
    </x:row>
    <x:row r="3">
      <x:c r="A3" s="13">
        <x:v>2021</x:v>
      </x:c>
      <x:c r="B3" s="13" t="s">
        <x:v>128</x:v>
      </x:c>
      <x:c r="C3" s="13">
        <x:v>0.86</x:v>
      </x:c>
      <x:c r="D3" s="13">
        <x:v>420</x:v>
      </x:c>
      <x:c r="E3" s="13">
        <x:v>24</x:v>
      </x:c>
      <x:c r="F3" s="13">
        <x:v>2</x:v>
      </x:c>
      <x:c r="G3" s="13">
        <x:v>8</x:v>
      </x:c>
      <x:c r="H3" s="13">
        <x:v>1</x:v>
      </x:c>
      <x:c r="I3" s="13" t="s">
        <x:v>230</x:v>
      </x:c>
      <x:c r="J3" s="13" t="s">
        <x:v>180</x:v>
      </x:c>
    </x:row>
    <x:row r="4">
      <x:c r="A4" s="13">
        <x:v>2021</x:v>
      </x:c>
      <x:c r="B4" s="13" t="s">
        <x:v>138</x:v>
      </x:c>
      <x:c r="C4" s="13">
        <x:v>0.88</x:v>
      </x:c>
      <x:c r="D4" s="13">
        <x:v>360</x:v>
      </x:c>
      <x:c r="E4" s="13">
        <x:v>20</x:v>
      </x:c>
      <x:c r="F4" s="13">
        <x:v>1</x:v>
      </x:c>
      <x:c r="G4" s="13">
        <x:v>6</x:v>
      </x:c>
      <x:c r="H4" s="13">
        <x:v>1</x:v>
      </x:c>
      <x:c r="I4" s="13" t="s">
        <x:v>230</x:v>
      </x:c>
      <x:c r="J4" s="13" t="s">
        <x:v>180</x:v>
      </x:c>
    </x:row>
    <x:row r="5">
      <x:c r="A5" s="13">
        <x:v>2021</x:v>
      </x:c>
      <x:c r="B5" s="13" t="s">
        <x:v>131</x:v>
      </x:c>
      <x:c r="C5" s="13">
        <x:v>0.7</x:v>
      </x:c>
      <x:c r="D5" s="13">
        <x:v>60</x:v>
      </x:c>
      <x:c r="E5" s="13">
        <x:v>3</x:v>
      </x:c>
      <x:c r="F5" s="13">
        <x:v>0</x:v>
      </x:c>
      <x:c r="G5" s="13">
        <x:v>1</x:v>
      </x:c>
      <x:c r="H5" s="13">
        <x:v>0</x:v>
      </x:c>
      <x:c r="I5" s="13" t="s">
        <x:v>231</x:v>
      </x:c>
      <x:c r="J5" s="13" t="s">
        <x:v>180</x:v>
      </x:c>
    </x:row>
    <x:row r="6">
      <x:c r="A6" s="13">
        <x:v>2022</x:v>
      </x:c>
      <x:c r="B6" s="13" t="s">
        <x:v>125</x:v>
      </x:c>
      <x:c r="C6" s="13">
        <x:v>0.78</x:v>
      </x:c>
      <x:c r="D6" s="13">
        <x:v>120</x:v>
      </x:c>
      <x:c r="E6" s="13">
        <x:v>8</x:v>
      </x:c>
      <x:c r="F6" s="13">
        <x:v>0</x:v>
      </x:c>
      <x:c r="G6" s="13">
        <x:v>2</x:v>
      </x:c>
      <x:c r="H6" s="13">
        <x:v>0</x:v>
      </x:c>
      <x:c r="I6" s="13" t="s">
        <x:v>229</x:v>
      </x:c>
      <x:c r="J6" s="13" t="s">
        <x:v>180</x:v>
      </x:c>
    </x:row>
    <x:row r="7">
      <x:c r="A7" s="13">
        <x:v>2022</x:v>
      </x:c>
      <x:c r="B7" s="13" t="s">
        <x:v>128</x:v>
      </x:c>
      <x:c r="C7" s="13">
        <x:v>0.86</x:v>
      </x:c>
      <x:c r="D7" s="13">
        <x:v>420</x:v>
      </x:c>
      <x:c r="E7" s="13">
        <x:v>24</x:v>
      </x:c>
      <x:c r="F7" s="13">
        <x:v>2</x:v>
      </x:c>
      <x:c r="G7" s="13">
        <x:v>8</x:v>
      </x:c>
      <x:c r="H7" s="13">
        <x:v>1</x:v>
      </x:c>
      <x:c r="I7" s="13" t="s">
        <x:v>230</x:v>
      </x:c>
      <x:c r="J7" s="13" t="s">
        <x:v>180</x:v>
      </x:c>
    </x:row>
    <x:row r="8">
      <x:c r="A8" s="13">
        <x:v>2022</x:v>
      </x:c>
      <x:c r="B8" s="13" t="s">
        <x:v>138</x:v>
      </x:c>
      <x:c r="C8" s="13">
        <x:v>0.88</x:v>
      </x:c>
      <x:c r="D8" s="13">
        <x:v>360</x:v>
      </x:c>
      <x:c r="E8" s="13">
        <x:v>20</x:v>
      </x:c>
      <x:c r="F8" s="13">
        <x:v>1</x:v>
      </x:c>
      <x:c r="G8" s="13">
        <x:v>6</x:v>
      </x:c>
      <x:c r="H8" s="13">
        <x:v>1</x:v>
      </x:c>
      <x:c r="I8" s="13" t="s">
        <x:v>230</x:v>
      </x:c>
      <x:c r="J8" s="13" t="s">
        <x:v>180</x:v>
      </x:c>
    </x:row>
    <x:row r="9">
      <x:c r="A9" s="13">
        <x:v>2022</x:v>
      </x:c>
      <x:c r="B9" s="13" t="s">
        <x:v>131</x:v>
      </x:c>
      <x:c r="C9" s="13">
        <x:v>0.7</x:v>
      </x:c>
      <x:c r="D9" s="13">
        <x:v>60</x:v>
      </x:c>
      <x:c r="E9" s="13">
        <x:v>3</x:v>
      </x:c>
      <x:c r="F9" s="13">
        <x:v>0</x:v>
      </x:c>
      <x:c r="G9" s="13">
        <x:v>1</x:v>
      </x:c>
      <x:c r="H9" s="13">
        <x:v>0</x:v>
      </x:c>
      <x:c r="I9" s="13" t="s">
        <x:v>231</x:v>
      </x:c>
      <x:c r="J9" s="13" t="s">
        <x:v>180</x:v>
      </x:c>
    </x:row>
    <x:row r="10">
      <x:c r="A10" s="13">
        <x:v>2023</x:v>
      </x:c>
      <x:c r="B10" s="13" t="s">
        <x:v>125</x:v>
      </x:c>
      <x:c r="C10" s="13">
        <x:v>0.78</x:v>
      </x:c>
      <x:c r="D10" s="13">
        <x:v>120</x:v>
      </x:c>
      <x:c r="E10" s="13">
        <x:v>8</x:v>
      </x:c>
      <x:c r="F10" s="13">
        <x:v>0</x:v>
      </x:c>
      <x:c r="G10" s="13">
        <x:v>2</x:v>
      </x:c>
      <x:c r="H10" s="13">
        <x:v>0</x:v>
      </x:c>
      <x:c r="I10" s="13" t="s">
        <x:v>229</x:v>
      </x:c>
      <x:c r="J10" s="13" t="s">
        <x:v>180</x:v>
      </x:c>
    </x:row>
    <x:row r="11">
      <x:c r="A11" s="13">
        <x:v>2023</x:v>
      </x:c>
      <x:c r="B11" s="13" t="s">
        <x:v>128</x:v>
      </x:c>
      <x:c r="C11" s="13">
        <x:v>0.86</x:v>
      </x:c>
      <x:c r="D11" s="13">
        <x:v>420</x:v>
      </x:c>
      <x:c r="E11" s="13">
        <x:v>24</x:v>
      </x:c>
      <x:c r="F11" s="13">
        <x:v>2</x:v>
      </x:c>
      <x:c r="G11" s="13">
        <x:v>8</x:v>
      </x:c>
      <x:c r="H11" s="13">
        <x:v>1</x:v>
      </x:c>
      <x:c r="I11" s="13" t="s">
        <x:v>230</x:v>
      </x:c>
      <x:c r="J11" s="13" t="s">
        <x:v>180</x:v>
      </x:c>
    </x:row>
    <x:row r="12">
      <x:c r="A12" s="13">
        <x:v>2023</x:v>
      </x:c>
      <x:c r="B12" s="13" t="s">
        <x:v>138</x:v>
      </x:c>
      <x:c r="C12" s="13">
        <x:v>0.88</x:v>
      </x:c>
      <x:c r="D12" s="13">
        <x:v>360</x:v>
      </x:c>
      <x:c r="E12" s="13">
        <x:v>20</x:v>
      </x:c>
      <x:c r="F12" s="13">
        <x:v>1</x:v>
      </x:c>
      <x:c r="G12" s="13">
        <x:v>6</x:v>
      </x:c>
      <x:c r="H12" s="13">
        <x:v>1</x:v>
      </x:c>
      <x:c r="I12" s="13" t="s">
        <x:v>230</x:v>
      </x:c>
      <x:c r="J12" s="13" t="s">
        <x:v>180</x:v>
      </x:c>
    </x:row>
    <x:row r="13">
      <x:c r="A13" s="13">
        <x:v>2023</x:v>
      </x:c>
      <x:c r="B13" s="13" t="s">
        <x:v>131</x:v>
      </x:c>
      <x:c r="C13" s="13">
        <x:v>0.7</x:v>
      </x:c>
      <x:c r="D13" s="13">
        <x:v>60</x:v>
      </x:c>
      <x:c r="E13" s="13">
        <x:v>3</x:v>
      </x:c>
      <x:c r="F13" s="13">
        <x:v>0</x:v>
      </x:c>
      <x:c r="G13" s="13">
        <x:v>1</x:v>
      </x:c>
      <x:c r="H13" s="13">
        <x:v>0</x:v>
      </x:c>
      <x:c r="I13" s="13" t="s">
        <x:v>231</x:v>
      </x:c>
      <x:c r="J13" s="13" t="s">
        <x:v>180</x:v>
      </x:c>
    </x:row>
    <x:row r="14">
      <x:c r="A14" s="13">
        <x:v>2024</x:v>
      </x:c>
      <x:c r="B14" s="13" t="s">
        <x:v>125</x:v>
      </x:c>
      <x:c r="C14" s="13">
        <x:v>0.78</x:v>
      </x:c>
      <x:c r="D14" s="13">
        <x:v>120</x:v>
      </x:c>
      <x:c r="E14" s="13">
        <x:v>8</x:v>
      </x:c>
      <x:c r="F14" s="13">
        <x:v>0</x:v>
      </x:c>
      <x:c r="G14" s="13">
        <x:v>2</x:v>
      </x:c>
      <x:c r="H14" s="13">
        <x:v>0</x:v>
      </x:c>
      <x:c r="I14" s="13" t="s">
        <x:v>229</x:v>
      </x:c>
      <x:c r="J14" s="13" t="s">
        <x:v>180</x:v>
      </x:c>
    </x:row>
    <x:row r="15">
      <x:c r="A15" s="13">
        <x:v>2024</x:v>
      </x:c>
      <x:c r="B15" s="13" t="s">
        <x:v>128</x:v>
      </x:c>
      <x:c r="C15" s="13">
        <x:v>0.86</x:v>
      </x:c>
      <x:c r="D15" s="13">
        <x:v>420</x:v>
      </x:c>
      <x:c r="E15" s="13">
        <x:v>24</x:v>
      </x:c>
      <x:c r="F15" s="13">
        <x:v>2</x:v>
      </x:c>
      <x:c r="G15" s="13">
        <x:v>8</x:v>
      </x:c>
      <x:c r="H15" s="13">
        <x:v>1</x:v>
      </x:c>
      <x:c r="I15" s="13" t="s">
        <x:v>230</x:v>
      </x:c>
      <x:c r="J15" s="13" t="s">
        <x:v>180</x:v>
      </x:c>
    </x:row>
    <x:row r="16">
      <x:c r="A16" s="13">
        <x:v>2024</x:v>
      </x:c>
      <x:c r="B16" s="13" t="s">
        <x:v>138</x:v>
      </x:c>
      <x:c r="C16" s="13">
        <x:v>0.88</x:v>
      </x:c>
      <x:c r="D16" s="13">
        <x:v>360</x:v>
      </x:c>
      <x:c r="E16" s="13">
        <x:v>20</x:v>
      </x:c>
      <x:c r="F16" s="13">
        <x:v>1</x:v>
      </x:c>
      <x:c r="G16" s="13">
        <x:v>6</x:v>
      </x:c>
      <x:c r="H16" s="13">
        <x:v>1</x:v>
      </x:c>
      <x:c r="I16" s="13" t="s">
        <x:v>230</x:v>
      </x:c>
      <x:c r="J16" s="13" t="s">
        <x:v>180</x:v>
      </x:c>
    </x:row>
    <x:row r="17">
      <x:c r="A17" s="13">
        <x:v>2024</x:v>
      </x:c>
      <x:c r="B17" s="13" t="s">
        <x:v>131</x:v>
      </x:c>
      <x:c r="C17" s="13">
        <x:v>0.7</x:v>
      </x:c>
      <x:c r="D17" s="13">
        <x:v>60</x:v>
      </x:c>
      <x:c r="E17" s="13">
        <x:v>3</x:v>
      </x:c>
      <x:c r="F17" s="13">
        <x:v>0</x:v>
      </x:c>
      <x:c r="G17" s="13">
        <x:v>1</x:v>
      </x:c>
      <x:c r="H17" s="13">
        <x:v>0</x:v>
      </x:c>
      <x:c r="I17" s="13" t="s">
        <x:v>231</x:v>
      </x:c>
      <x:c r="J17" s="13" t="s">
        <x:v>180</x:v>
      </x:c>
    </x:row>
    <x:row r="18">
      <x:c r="A18" s="13">
        <x:v>2025</x:v>
      </x:c>
      <x:c r="B18" s="13" t="s">
        <x:v>125</x:v>
      </x:c>
      <x:c r="C18" s="13">
        <x:v>0.78</x:v>
      </x:c>
      <x:c r="D18" s="13">
        <x:v>120</x:v>
      </x:c>
      <x:c r="E18" s="13">
        <x:v>8</x:v>
      </x:c>
      <x:c r="F18" s="13">
        <x:v>0</x:v>
      </x:c>
      <x:c r="G18" s="13">
        <x:v>2</x:v>
      </x:c>
      <x:c r="H18" s="13">
        <x:v>0</x:v>
      </x:c>
      <x:c r="I18" s="13" t="s">
        <x:v>229</x:v>
      </x:c>
      <x:c r="J18" s="13" t="s">
        <x:v>180</x:v>
      </x:c>
    </x:row>
    <x:row r="19">
      <x:c r="A19" s="13">
        <x:v>2025</x:v>
      </x:c>
      <x:c r="B19" s="13" t="s">
        <x:v>128</x:v>
      </x:c>
      <x:c r="C19" s="13">
        <x:v>0.86</x:v>
      </x:c>
      <x:c r="D19" s="13">
        <x:v>420</x:v>
      </x:c>
      <x:c r="E19" s="13">
        <x:v>24</x:v>
      </x:c>
      <x:c r="F19" s="13">
        <x:v>2</x:v>
      </x:c>
      <x:c r="G19" s="13">
        <x:v>8</x:v>
      </x:c>
      <x:c r="H19" s="13">
        <x:v>1</x:v>
      </x:c>
      <x:c r="I19" s="13" t="s">
        <x:v>230</x:v>
      </x:c>
      <x:c r="J19" s="13" t="s">
        <x:v>180</x:v>
      </x:c>
    </x:row>
    <x:row r="20">
      <x:c r="A20" s="13">
        <x:v>2025</x:v>
      </x:c>
      <x:c r="B20" s="13" t="s">
        <x:v>138</x:v>
      </x:c>
      <x:c r="C20" s="13">
        <x:v>0.88</x:v>
      </x:c>
      <x:c r="D20" s="13">
        <x:v>360</x:v>
      </x:c>
      <x:c r="E20" s="13">
        <x:v>20</x:v>
      </x:c>
      <x:c r="F20" s="13">
        <x:v>1</x:v>
      </x:c>
      <x:c r="G20" s="13">
        <x:v>6</x:v>
      </x:c>
      <x:c r="H20" s="13">
        <x:v>1</x:v>
      </x:c>
      <x:c r="I20" s="13" t="s">
        <x:v>230</x:v>
      </x:c>
      <x:c r="J20" s="13" t="s">
        <x:v>180</x:v>
      </x:c>
    </x:row>
    <x:row r="21">
      <x:c r="A21" s="13">
        <x:v>2025</x:v>
      </x:c>
      <x:c r="B21" s="13" t="s">
        <x:v>131</x:v>
      </x:c>
      <x:c r="C21" s="13">
        <x:v>0.7</x:v>
      </x:c>
      <x:c r="D21" s="13">
        <x:v>60</x:v>
      </x:c>
      <x:c r="E21" s="13">
        <x:v>3</x:v>
      </x:c>
      <x:c r="F21" s="13">
        <x:v>0</x:v>
      </x:c>
      <x:c r="G21" s="13">
        <x:v>1</x:v>
      </x:c>
      <x:c r="H21" s="13">
        <x:v>0</x:v>
      </x:c>
      <x:c r="I21" s="13" t="s">
        <x:v>231</x:v>
      </x:c>
      <x:c r="J21" s="13" t="s">
        <x:v>180</x:v>
      </x:c>
    </x:row>
    <x:row r="22">
      <x:c r="A22" s="13">
        <x:v>2026</x:v>
      </x:c>
      <x:c r="B22" s="13" t="s">
        <x:v>125</x:v>
      </x:c>
      <x:c r="C22" s="13">
        <x:v>0.8</x:v>
      </x:c>
      <x:c r="D22" s="13">
        <x:v>140</x:v>
      </x:c>
      <x:c r="E22" s="13">
        <x:v>9</x:v>
      </x:c>
      <x:c r="F22" s="13">
        <x:v>0</x:v>
      </x:c>
      <x:c r="G22" s="13">
        <x:v>2</x:v>
      </x:c>
      <x:c r="H22" s="13">
        <x:v>0</x:v>
      </x:c>
      <x:c r="I22" s="13" t="s">
        <x:v>229</x:v>
      </x:c>
      <x:c r="J22" s="13" t="s">
        <x:v>183</x:v>
      </x:c>
    </x:row>
    <x:row r="23">
      <x:c r="A23" s="13">
        <x:v>2026</x:v>
      </x:c>
      <x:c r="B23" s="13" t="s">
        <x:v>128</x:v>
      </x:c>
      <x:c r="C23" s="13">
        <x:v>0.87</x:v>
      </x:c>
      <x:c r="D23" s="13">
        <x:v>460</x:v>
      </x:c>
      <x:c r="E23" s="13">
        <x:v>26</x:v>
      </x:c>
      <x:c r="F23" s="13">
        <x:v>2</x:v>
      </x:c>
      <x:c r="G23" s="13">
        <x:v>9</x:v>
      </x:c>
      <x:c r="H23" s="13">
        <x:v>1</x:v>
      </x:c>
      <x:c r="I23" s="13" t="s">
        <x:v>230</x:v>
      </x:c>
      <x:c r="J23" s="13" t="s">
        <x:v>183</x:v>
      </x:c>
    </x:row>
    <x:row r="24">
      <x:c r="A24" s="13">
        <x:v>2026</x:v>
      </x:c>
      <x:c r="B24" s="13" t="s">
        <x:v>138</x:v>
      </x:c>
      <x:c r="C24" s="13">
        <x:v>0.89</x:v>
      </x:c>
      <x:c r="D24" s="13">
        <x:v>390</x:v>
      </x:c>
      <x:c r="E24" s="13">
        <x:v>22</x:v>
      </x:c>
      <x:c r="F24" s="13">
        <x:v>1</x:v>
      </x:c>
      <x:c r="G24" s="13">
        <x:v>7</x:v>
      </x:c>
      <x:c r="H24" s="13">
        <x:v>1</x:v>
      </x:c>
      <x:c r="I24" s="13" t="s">
        <x:v>230</x:v>
      </x:c>
      <x:c r="J24" s="13" t="s">
        <x:v>183</x:v>
      </x:c>
    </x:row>
    <x:row r="25">
      <x:c r="A25" s="13">
        <x:v>2026</x:v>
      </x:c>
      <x:c r="B25" s="13" t="s">
        <x:v>131</x:v>
      </x:c>
      <x:c r="C25" s="13">
        <x:v>0.71</x:v>
      </x:c>
      <x:c r="D25" s="13">
        <x:v>70</x:v>
      </x:c>
      <x:c r="E25" s="13">
        <x:v>3</x:v>
      </x:c>
      <x:c r="F25" s="13">
        <x:v>0</x:v>
      </x:c>
      <x:c r="G25" s="13">
        <x:v>1</x:v>
      </x:c>
      <x:c r="H25" s="13">
        <x:v>0</x:v>
      </x:c>
      <x:c r="I25" s="13" t="s">
        <x:v>231</x:v>
      </x:c>
      <x:c r="J25" s="13" t="s">
        <x:v>183</x:v>
      </x:c>
    </x:row>
  </x:sheetData>
  <x:dataValidations count="1">
    <x:dataValidation type="list" sqref="I2:I5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fa4b4f31aa4cbc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8" customWidth="1"/>
    <x:col min="2" max="2" width="32" customWidth="1"/>
  </x:cols>
  <x:sheetData>
    <x:row r="1" ht="24" customHeight="1">
      <x:c r="A1" s="6" t="s">
        <x:v>232</x:v>
      </x:c>
    </x:row>
    <x:row r="3" ht="15">
      <x:c r="A3" s="3" t="s">
        <x:v>233</x:v>
      </x:c>
      <x:c r="B3" s="3">
        <x:v>2026</x:v>
      </x:c>
    </x:row>
    <x:row r="4">
      <x:c r="A4" s="2" t="s">
        <x:v>234</x:v>
      </x:c>
      <x:c r="B4" s="7" t="n">
        <x:f>SUMIFS(REVENUE_YR!C:C,REVENUE_YR!A:A,B3)</x:f>
        <x:v>20000000000</x:v>
      </x:c>
    </x:row>
    <x:row r="5">
      <x:c r="A5" s="2" t="s">
        <x:v>235</x:v>
      </x:c>
      <x:c r="B5" s="7" t="n">
        <x:f>SUMIFS(REVENUE_YR!D:D,REVENUE_YR!A:A,B3)</x:f>
        <x:v>17000000000</x:v>
      </x:c>
    </x:row>
    <x:row r="6">
      <x:c r="A6" s="2" t="s">
        <x:v>236</x:v>
      </x:c>
      <x:c r="B6" s="4" t="n">
        <x:f>IF(B4&gt;0,(B4-B5)/B4,"")</x:f>
        <x:v>0.15</x:v>
      </x:c>
    </x:row>
    <x:row r="7">
      <x:c r="A7" s="2" t="s">
        <x:v>237</x:v>
      </x:c>
      <x:c r="B7" s="8" t="n">
        <x:f>SUMIFS(HEADCOUNT_YR!C:C,HEADCOUNT_YR!A:A,B3)</x:f>
        <x:v>71</x:v>
      </x:c>
    </x:row>
    <x:row r="8">
      <x:c r="A8" s="2" t="s">
        <x:v>238</x:v>
      </x:c>
      <x:c r="B8" s="7" t="n">
        <x:f>SUMIFS(PAYROLL_YR!H:H,PAYROLL_YR!A:A,B3)</x:f>
        <x:v>4577400159</x:v>
      </x:c>
    </x:row>
    <x:row r="9">
      <x:c r="A9" s="2" t="s">
        <x:v>239</x:v>
      </x:c>
      <x:c r="B9" s="7" t="n">
        <x:f>IF(B7&gt;0,B4/B7,"")</x:f>
        <x:v>281690140.8450704</x:v>
      </x:c>
    </x:row>
    <x:row r="10">
      <x:c r="A10" s="2" t="s">
        <x:v>240</x:v>
      </x:c>
      <x:c r="B10" s="4" t="n">
        <x:f>IF(B4&gt;0,B8/B4,"")</x:f>
        <x:v>0.22887000795</x:v>
      </x:c>
    </x:row>
    <x:row r="11" ht="15">
      <x:c r="A11" s="2" t="s">
        <x:v>241</x:v>
      </x:c>
      <x:c r="B11" s="9" t="str">
        <x:f>IF(B10&lt;=0.09,"HIGH_LEVERAGE/LOW COST BASE","REVIEW")</x:f>
        <x:v>REVIEW</x:v>
      </x:c>
    </x:row>
    <x:row r="12" ht="15">
      <x:c r="A12" s="2" t="s">
        <x:v>242</x:v>
      </x:c>
      <x:c r="B12" s="9" t="str">
        <x:f>IF(B6&gt;=0.35,"STRONG",IF(B6&gt;=0.25,"HEALTHY",IF(B6&gt;=0.15,"WATCH",IF(B6&gt;=0.1,"PRESSURE","CRITICAL"))))</x:f>
        <x:v>WATCH</x:v>
      </x:c>
    </x:row>
  </x:sheetData>
  <x:conditionalFormatting sqref="B6:B6">
    <x:cfRule type="cellIs" dxfId="1" priority="1" operator="lessThan">
      <x:formula>0.25</x:formula>
    </x:cfRule>
  </x:conditionalFormatting>
  <x:conditionalFormatting sqref="B10:B10">
    <x:cfRule type="cellIs" dxfId="0" priority="2" operator="greaterThan">
      <x:formula>0.09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2" customWidth="1"/>
    <x:col min="2" max="2" width="18" customWidth="1"/>
    <x:col min="3" max="3" width="16" customWidth="1"/>
    <x:col min="4" max="4" width="20" customWidth="1"/>
    <x:col min="5" max="5" width="22" customWidth="1"/>
    <x:col min="6" max="6" width="18" customWidth="1"/>
    <x:col min="7" max="7" width="68" customWidth="1"/>
    <x:col min="8" max="8" width="22" hidden="0" customWidth="1"/>
    <x:col min="9" max="9" width="22" hidden="0" customWidth="1"/>
    <x:col min="10" max="10" width="60" hidden="0" customWidth="1"/>
  </x:cols>
  <x:sheetData>
    <x:row r="1" ht="15">
      <x:c r="A1" s="16" t="s">
        <x:v>167</x:v>
      </x:c>
      <x:c r="B1" s="16" t="s">
        <x:v>243</x:v>
      </x:c>
      <x:c r="C1" s="16" t="s">
        <x:v>244</x:v>
      </x:c>
      <x:c r="D1" s="16" t="s">
        <x:v>245</x:v>
      </x:c>
      <x:c r="E1" s="17" t="s">
        <x:v>246</x:v>
      </x:c>
      <x:c r="F1" s="16" t="s">
        <x:v>247</x:v>
      </x:c>
      <x:c r="G1" s="16" t="s">
        <x:v>45</x:v>
      </x:c>
      <x:c r="H1" s="65" t="str">
        <x:v>YTD_Comparable_Factor</x:v>
      </x:c>
      <x:c r="I1" s="65" t="str">
        <x:v>Annualized_Example</x:v>
      </x:c>
      <x:c r="J1" s="64" t="str">
        <x:v>How_To_Read</x:v>
      </x:c>
    </x:row>
    <x:row r="2">
      <x:c r="A2" s="14">
        <x:v>2021</x:v>
      </x:c>
      <x:c r="B2" s="14">
        <x:v>12</x:v>
      </x:c>
      <x:c r="C2" s="14" t="s">
        <x:v>248</x:v>
      </x:c>
      <x:c r="D2" s="14" t="s">
        <x:v>249</x:v>
      </x:c>
      <x:c r="E2" s="14" t="n">
        <x:f t="shared" ref="E2:E7" si="0">IF(B2&gt;0,12/B2,"")</x:f>
        <x:v>1</x:v>
      </x:c>
      <x:c r="F2" s="14" t="s">
        <x:v>230</x:v>
      </x:c>
      <x:c r="G2" s="14" t="s">
        <x:v>250</x:v>
      </x:c>
      <x:c r="H2" t="n">
        <x:f>IFERROR($B$7/B2,1)</x:f>
        <x:v>0.5</x:v>
      </x:c>
      <x:c r="I2" t="n">
        <x:f>IFERROR(12/B2,1)</x:f>
        <x:v>1</x:v>
      </x:c>
      <x:c r="J2" t="str">
        <x:v>YTD Comparable: tahun ini dan tahun sebelumnya disetarakan ke jumlah bulan YTD yang sama. Annualized: YTD disetahunkan.</x:v>
      </x:c>
    </x:row>
    <x:row r="3">
      <x:c r="A3" s="14">
        <x:v>2022</x:v>
      </x:c>
      <x:c r="B3" s="14">
        <x:v>12</x:v>
      </x:c>
      <x:c r="C3" s="14" t="s">
        <x:v>248</x:v>
      </x:c>
      <x:c r="D3" s="14" t="s">
        <x:v>251</x:v>
      </x:c>
      <x:c r="E3" s="14">
        <x:f t="shared" si="0"/>
        <x:v>1</x:v>
      </x:c>
      <x:c r="F3" s="14" t="s">
        <x:v>230</x:v>
      </x:c>
      <x:c r="G3" s="14" t="s">
        <x:v>250</x:v>
      </x:c>
      <x:c r="H3" t="n">
        <x:f>IFERROR($B$7/B3,1)</x:f>
        <x:v>0.5</x:v>
      </x:c>
      <x:c r="I3" t="n">
        <x:f>IFERROR(12/B3,1)</x:f>
        <x:v>1</x:v>
      </x:c>
      <x:c r="J3" t="str">
        <x:v>YTD Comparable: tahun ini dan tahun sebelumnya disetarakan ke jumlah bulan YTD yang sama. Annualized: YTD disetahunkan.</x:v>
      </x:c>
    </x:row>
    <x:row r="4">
      <x:c r="A4" s="14">
        <x:v>2023</x:v>
      </x:c>
      <x:c r="B4" s="14">
        <x:v>12</x:v>
      </x:c>
      <x:c r="C4" s="14" t="s">
        <x:v>248</x:v>
      </x:c>
      <x:c r="D4" s="14" t="s">
        <x:v>252</x:v>
      </x:c>
      <x:c r="E4" s="14">
        <x:f t="shared" si="0"/>
        <x:v>1</x:v>
      </x:c>
      <x:c r="F4" s="14" t="s">
        <x:v>230</x:v>
      </x:c>
      <x:c r="G4" s="14" t="s">
        <x:v>250</x:v>
      </x:c>
      <x:c r="H4" t="n">
        <x:f>IFERROR($B$7/B4,1)</x:f>
        <x:v>0.5</x:v>
      </x:c>
      <x:c r="I4" t="n">
        <x:f>IFERROR(12/B4,1)</x:f>
        <x:v>1</x:v>
      </x:c>
      <x:c r="J4" t="str">
        <x:v>YTD Comparable: tahun ini dan tahun sebelumnya disetarakan ke jumlah bulan YTD yang sama. Annualized: YTD disetahunkan.</x:v>
      </x:c>
    </x:row>
    <x:row r="5">
      <x:c r="A5" s="14">
        <x:v>2024</x:v>
      </x:c>
      <x:c r="B5" s="14">
        <x:v>12</x:v>
      </x:c>
      <x:c r="C5" s="14" t="s">
        <x:v>248</x:v>
      </x:c>
      <x:c r="D5" s="14" t="s">
        <x:v>253</x:v>
      </x:c>
      <x:c r="E5" s="14">
        <x:f t="shared" si="0"/>
        <x:v>1</x:v>
      </x:c>
      <x:c r="F5" s="14" t="s">
        <x:v>230</x:v>
      </x:c>
      <x:c r="G5" s="14" t="s">
        <x:v>250</x:v>
      </x:c>
      <x:c r="H5" t="n">
        <x:f>IFERROR($B$7/B5,1)</x:f>
        <x:v>0.5</x:v>
      </x:c>
      <x:c r="I5" t="n">
        <x:f>IFERROR(12/B5,1)</x:f>
        <x:v>1</x:v>
      </x:c>
      <x:c r="J5" t="str">
        <x:v>YTD Comparable: tahun ini dan tahun sebelumnya disetarakan ke jumlah bulan YTD yang sama. Annualized: YTD disetahunkan.</x:v>
      </x:c>
    </x:row>
    <x:row r="6">
      <x:c r="A6" s="14">
        <x:v>2025</x:v>
      </x:c>
      <x:c r="B6" s="14">
        <x:v>12</x:v>
      </x:c>
      <x:c r="C6" s="14" t="s">
        <x:v>248</x:v>
      </x:c>
      <x:c r="D6" s="14" t="s">
        <x:v>254</x:v>
      </x:c>
      <x:c r="E6" s="14">
        <x:f t="shared" si="0"/>
        <x:v>1</x:v>
      </x:c>
      <x:c r="F6" s="14" t="s">
        <x:v>230</x:v>
      </x:c>
      <x:c r="G6" s="14" t="s">
        <x:v>250</x:v>
      </x:c>
      <x:c r="H6" t="n">
        <x:f>IFERROR($B$7/B6,1)</x:f>
        <x:v>0.5</x:v>
      </x:c>
      <x:c r="I6" t="n">
        <x:f>IFERROR(12/B6,1)</x:f>
        <x:v>1</x:v>
      </x:c>
      <x:c r="J6" t="str">
        <x:v>YTD Comparable: tahun ini dan tahun sebelumnya disetarakan ke jumlah bulan YTD yang sama. Annualized: YTD disetahunkan.</x:v>
      </x:c>
    </x:row>
    <x:row r="7">
      <x:c r="A7" s="14">
        <x:v>2026</x:v>
      </x:c>
      <x:c r="B7" s="14">
        <x:v>6</x:v>
      </x:c>
      <x:c r="C7" s="14" t="s">
        <x:v>255</x:v>
      </x:c>
      <x:c r="D7" s="14" t="s">
        <x:v>256</x:v>
      </x:c>
      <x:c r="E7" s="14">
        <x:f t="shared" si="0"/>
        <x:v>2</x:v>
      </x:c>
      <x:c r="F7" s="14" t="s">
        <x:v>229</x:v>
      </x:c>
      <x:c r="G7" s="14" t="s">
        <x:v>257</x:v>
      </x:c>
      <x:c r="H7" t="n">
        <x:f>IFERROR($B$7/B7,1)</x:f>
        <x:v>1</x:v>
      </x:c>
      <x:c r="I7" t="n">
        <x:f>IFERROR(12/B7,1)</x:f>
        <x:v>2</x:v>
      </x:c>
      <x:c r="J7" t="str">
        <x:v>YTD Comparable: tahun ini dan tahun sebelumnya disetarakan ke jumlah bulan YTD yang sama. Annualized: YTD disetahunkan.</x:v>
      </x:c>
    </x:row>
  </x:sheetData>
  <x:dataValidations count="2">
    <x:dataValidation type="list" sqref="C2:C100">
      <x:formula1>"FY,YTD"</x:formula1>
    </x:dataValidation>
    <x:dataValidation type="list" sqref="F2:F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d207d891e6435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56" hidden="0" customWidth="1"/>
    <x:col min="32" max="32" width="28" hidden="0" customWidth="1"/>
    <x:col min="33" max="33" width="82" hidden="0" customWidth="1"/>
  </x:cols>
  <x:sheetData>
    <x:row r="1">
      <x:c r="A1" s="39" t="str">
        <x:v>Year</x:v>
      </x:c>
      <x:c r="B1" s="46" t="str">
        <x:v>Project_Revenue</x:v>
      </x:c>
      <x:c r="C1" s="46" t="str">
        <x:v>Sales_Discount</x:v>
      </x:c>
      <x:c r="D1" s="46" t="str">
        <x:v>Net_Revenue</x:v>
      </x:c>
      <x:c r="E1" s="46" t="str">
        <x:v>COGS_Direct</x:v>
      </x:c>
      <x:c r="F1" s="46" t="str">
        <x:v>Project_Overhead</x:v>
      </x:c>
      <x:c r="G1" s="46" t="str">
        <x:v>Gross_Profit</x:v>
      </x:c>
      <x:c r="H1" s="46" t="str">
        <x:v>Biaya_Administrasi</x:v>
      </x:c>
      <x:c r="I1" s="46" t="str">
        <x:v>Biaya_Marketing</x:v>
      </x:c>
      <x:c r="J1" s="46" t="str">
        <x:v>Biaya_Litbang_RnD</x:v>
      </x:c>
      <x:c r="K1" s="46" t="str">
        <x:v>Total_Biaya_Operasional</x:v>
      </x:c>
      <x:c r="L1" s="46" t="str">
        <x:v>Operating_Profit_EBIT</x:v>
      </x:c>
      <x:c r="M1" s="46" t="str">
        <x:v>Other_Income</x:v>
      </x:c>
      <x:c r="N1" s="46" t="str">
        <x:v>Other_Expense</x:v>
      </x:c>
      <x:c r="O1" s="46" t="str">
        <x:v>Interest_Expense</x:v>
      </x:c>
      <x:c r="P1" s="46" t="str">
        <x:v>Total_Other_Income_Expense</x:v>
      </x:c>
      <x:c r="Q1" s="46" t="str">
        <x:v>Profit_Before_Tax_PBT</x:v>
      </x:c>
      <x:c r="R1" s="46" t="str">
        <x:v>PPh_29</x:v>
      </x:c>
      <x:c r="S1" s="46" t="str">
        <x:v>PPh_23_42</x:v>
      </x:c>
      <x:c r="T1" s="46" t="str">
        <x:v>Total_Tax</x:v>
      </x:c>
      <x:c r="U1" s="46" t="str">
        <x:v>Net_Profit</x:v>
      </x:c>
      <x:c r="V1" s="48" t="str">
        <x:v>Gross_Margin_Pct</x:v>
      </x:c>
      <x:c r="W1" s="48" t="str">
        <x:v>Operating_Margin_Pct</x:v>
      </x:c>
      <x:c r="X1" s="48" t="str">
        <x:v>Net_Margin_Pct</x:v>
      </x:c>
      <x:c r="Y1" s="48" t="str">
        <x:v>Admin_OPEX_Ratio</x:v>
      </x:c>
      <x:c r="Z1" s="48" t="str">
        <x:v>OPEX_Ratio</x:v>
      </x:c>
      <x:c r="AA1" s="48" t="str">
        <x:v>Interest_Ratio</x:v>
      </x:c>
      <x:c r="AB1" s="48" t="str">
        <x:v>Tax_Ratio</x:v>
      </x:c>
      <x:c r="AC1" s="48" t="str">
        <x:v>Profit_Conversion_Pct</x:v>
      </x:c>
      <x:c r="AD1" s="39" t="str">
        <x:v>Notes</x:v>
      </x:c>
      <x:c r="AF1" s="39" t="str">
        <x:v>FINANCIALS - Cara Isi</x:v>
      </x:c>
      <x:c r="AG1" s="39" t="str">
        <x:v>Keterangan</x:v>
      </x:c>
    </x:row>
    <x:row r="2">
      <x:c r="A2" s="45" t="n">
        <x:v>2021</x:v>
      </x:c>
      <x:c r="B2" s="45" t="n">
        <x:f>IFERROR(SUMIF(REVENUE_YR!$A:$A,A2,REVENUE_YR!$C:$C),0)</x:f>
        <x:v>45048932718</x:v>
      </x:c>
      <x:c r="C2" s="45" t="n">
        <x:v>0</x:v>
      </x:c>
      <x:c r="D2" s="45" t="n">
        <x:f>B2-C2</x:f>
        <x:v>45048932718</x:v>
      </x:c>
      <x:c r="E2" s="45" t="n">
        <x:f>IFERROR(SUMIF(REVENUE_YR!$A:$A,A2,REVENUE_YR!$D:$D),0)</x:f>
        <x:v>23425445013</x:v>
      </x:c>
      <x:c r="F2" s="45" t="n">
        <x:v>0</x:v>
      </x:c>
      <x:c r="G2" s="45" t="n">
        <x:f>D2-E2-F2</x:f>
        <x:v>21623487705</x:v>
      </x:c>
      <x:c r="H2" s="45" t="n">
        <x:v>0</x:v>
      </x:c>
      <x:c r="I2" s="45" t="n">
        <x:v>0</x:v>
      </x:c>
      <x:c r="J2" s="45" t="n">
        <x:v>0</x:v>
      </x:c>
      <x:c r="K2" s="45" t="n">
        <x:f>H2+I2+J2</x:f>
        <x:v>0</x:v>
      </x:c>
      <x:c r="L2" s="45" t="n">
        <x:f>G2-K2</x:f>
        <x:v>21623487705</x:v>
      </x:c>
      <x:c r="M2" s="45" t="n">
        <x:v>0</x:v>
      </x:c>
      <x:c r="N2" s="45" t="n">
        <x:v>0</x:v>
      </x:c>
      <x:c r="O2" s="45" t="n">
        <x:v>0</x:v>
      </x:c>
      <x:c r="P2" s="45" t="n">
        <x:f>M2-N2-O2</x:f>
        <x:v>0</x:v>
      </x:c>
      <x:c r="Q2" s="45" t="n">
        <x:f>L2+P2</x:f>
        <x:v>21623487705</x:v>
      </x:c>
      <x:c r="R2" s="45" t="n">
        <x:v>0</x:v>
      </x:c>
      <x:c r="S2" s="45" t="n">
        <x:v>0</x:v>
      </x:c>
      <x:c r="T2" s="45" t="n">
        <x:f>R2+S2</x:f>
        <x:v>0</x:v>
      </x:c>
      <x:c r="U2" s="45" t="n">
        <x:f>Q2-T2</x:f>
        <x:v>21623487705</x:v>
      </x:c>
      <x:c r="V2" s="45" t="n">
        <x:f>IFERROR(G2/D2,0)</x:f>
        <x:v>0.4800000000079913</x:v>
      </x:c>
      <x:c r="W2" s="45" t="n">
        <x:f>IFERROR(L2/D2,0)</x:f>
        <x:v>0.4800000000079913</x:v>
      </x:c>
      <x:c r="X2" s="45" t="n">
        <x:f>IFERROR(U2/D2,0)</x:f>
        <x:v>0.4800000000079913</x:v>
      </x:c>
      <x:c r="Y2" s="45" t="n">
        <x:f>IFERROR(H2/D2,0)</x:f>
        <x:v>0</x:v>
      </x:c>
      <x:c r="Z2" s="45" t="n">
        <x:f>IFERROR(K2/D2,0)</x:f>
        <x:v>0</x:v>
      </x:c>
      <x:c r="AA2" s="45" t="n">
        <x:f>IFERROR(O2/D2,0)</x:f>
        <x:v>0</x:v>
      </x:c>
      <x:c r="AB2" s="45" t="n">
        <x:f>IFERROR(T2/D2,0)</x:f>
        <x:v>0</x:v>
      </x:c>
      <x:c r="AC2" s="45" t="n">
        <x:f>IFERROR(U2/G2,0)</x:f>
        <x:v>1</x:v>
      </x:c>
      <x:c r="AD2" s="45" t="str">
        <x:v>Isi biaya sesuai laporan laba rugi. Revenue/COGS otomatis dari REVENUE_YR; boleh override jika angka final P&amp;L berbeda.</x:v>
      </x:c>
      <x:c r="AF2" s="2" t="str">
        <x:v>Project_Revenue</x:v>
      </x:c>
      <x:c r="AG2" s="2" t="str">
        <x:v>Pendapatan proyek/penjualan. Default otomatis dari REVENUE_YR kolom Revenue_Recognized.</x:v>
      </x:c>
    </x:row>
    <x:row r="3">
      <x:c r="A3" s="45" t="n">
        <x:v>2022</x:v>
      </x:c>
      <x:c r="B3" s="45" t="n">
        <x:f>IFERROR(SUMIF(REVENUE_YR!$A:$A,A3,REVENUE_YR!$C:$C),0)</x:f>
        <x:v>51100000000</x:v>
      </x:c>
      <x:c r="C3" s="45" t="n">
        <x:v>0</x:v>
      </x:c>
      <x:c r="D3" s="45" t="n">
        <x:f>B3-C3</x:f>
        <x:v>51100000000</x:v>
      </x:c>
      <x:c r="E3" s="45" t="n">
        <x:f>IFERROR(SUMIF(REVENUE_YR!$A:$A,A3,REVENUE_YR!$D:$D),0)</x:f>
        <x:v>27000000000</x:v>
      </x:c>
      <x:c r="F3" s="45" t="n">
        <x:v>0</x:v>
      </x:c>
      <x:c r="G3" s="45" t="n">
        <x:f>D3-E3-F3</x:f>
        <x:v>24100000000</x:v>
      </x:c>
      <x:c r="H3" s="45" t="n">
        <x:v>0</x:v>
      </x:c>
      <x:c r="I3" s="45" t="n">
        <x:v>0</x:v>
      </x:c>
      <x:c r="J3" s="45" t="n">
        <x:v>0</x:v>
      </x:c>
      <x:c r="K3" s="45" t="n">
        <x:f>H3+I3+J3</x:f>
        <x:v>0</x:v>
      </x:c>
      <x:c r="L3" s="45" t="n">
        <x:f>G3-K3</x:f>
        <x:v>24100000000</x:v>
      </x:c>
      <x:c r="M3" s="45" t="n">
        <x:v>0</x:v>
      </x:c>
      <x:c r="N3" s="45" t="n">
        <x:v>0</x:v>
      </x:c>
      <x:c r="O3" s="45" t="n">
        <x:v>0</x:v>
      </x:c>
      <x:c r="P3" s="45" t="n">
        <x:f>M3-N3-O3</x:f>
        <x:v>0</x:v>
      </x:c>
      <x:c r="Q3" s="45" t="n">
        <x:f>L3+P3</x:f>
        <x:v>24100000000</x:v>
      </x:c>
      <x:c r="R3" s="45" t="n">
        <x:v>0</x:v>
      </x:c>
      <x:c r="S3" s="45" t="n">
        <x:v>0</x:v>
      </x:c>
      <x:c r="T3" s="45" t="n">
        <x:f>R3+S3</x:f>
        <x:v>0</x:v>
      </x:c>
      <x:c r="U3" s="45" t="n">
        <x:f>Q3-T3</x:f>
        <x:v>24100000000</x:v>
      </x:c>
      <x:c r="V3" s="45" t="n">
        <x:f>IFERROR(G3/D3,0)</x:f>
        <x:v>0.47162426614481406</x:v>
      </x:c>
      <x:c r="W3" s="45" t="n">
        <x:f>IFERROR(L3/D3,0)</x:f>
        <x:v>0.47162426614481406</x:v>
      </x:c>
      <x:c r="X3" s="45" t="n">
        <x:f>IFERROR(U3/D3,0)</x:f>
        <x:v>0.47162426614481406</x:v>
      </x:c>
      <x:c r="Y3" s="45" t="n">
        <x:f>IFERROR(H3/D3,0)</x:f>
        <x:v>0</x:v>
      </x:c>
      <x:c r="Z3" s="45" t="n">
        <x:f>IFERROR(K3/D3,0)</x:f>
        <x:v>0</x:v>
      </x:c>
      <x:c r="AA3" s="45" t="n">
        <x:f>IFERROR(O3/D3,0)</x:f>
        <x:v>0</x:v>
      </x:c>
      <x:c r="AB3" s="45" t="n">
        <x:f>IFERROR(T3/D3,0)</x:f>
        <x:v>0</x:v>
      </x:c>
      <x:c r="AC3" s="45" t="n">
        <x:f>IFERROR(U3/G3,0)</x:f>
        <x:v>1</x:v>
      </x:c>
      <x:c r="AD3" s="45" t="str">
        <x:v>Isi biaya sesuai laporan laba rugi. Revenue/COGS otomatis dari REVENUE_YR; boleh override jika angka final P&amp;L berbeda.</x:v>
      </x:c>
      <x:c r="AF3" s="2" t="str">
        <x:v>Sales_Discount</x:v>
      </x:c>
      <x:c r="AG3" s="2" t="str">
        <x:v>Potongan penjualan. Dipisahkan agar diskon tidak tercampur dengan COGS.</x:v>
      </x:c>
    </x:row>
    <x:row r="4">
      <x:c r="A4" s="45" t="n">
        <x:v>2023</x:v>
      </x:c>
      <x:c r="B4" s="45" t="n">
        <x:f>IFERROR(SUMIF(REVENUE_YR!$A:$A,A4,REVENUE_YR!$C:$C),0)</x:f>
        <x:v>58750000000</x:v>
      </x:c>
      <x:c r="C4" s="45" t="n">
        <x:v>0</x:v>
      </x:c>
      <x:c r="D4" s="45" t="n">
        <x:f>B4-C4</x:f>
        <x:v>58750000000</x:v>
      </x:c>
      <x:c r="E4" s="45" t="n">
        <x:f>IFERROR(SUMIF(REVENUE_YR!$A:$A,A4,REVENUE_YR!$D:$D),0)</x:f>
        <x:v>32500000000</x:v>
      </x:c>
      <x:c r="F4" s="45" t="n">
        <x:v>0</x:v>
      </x:c>
      <x:c r="G4" s="45" t="n">
        <x:f>D4-E4-F4</x:f>
        <x:v>26250000000</x:v>
      </x:c>
      <x:c r="H4" s="45" t="n">
        <x:v>0</x:v>
      </x:c>
      <x:c r="I4" s="45" t="n">
        <x:v>0</x:v>
      </x:c>
      <x:c r="J4" s="45" t="n">
        <x:v>0</x:v>
      </x:c>
      <x:c r="K4" s="45" t="n">
        <x:f>H4+I4+J4</x:f>
        <x:v>0</x:v>
      </x:c>
      <x:c r="L4" s="45" t="n">
        <x:f>G4-K4</x:f>
        <x:v>26250000000</x:v>
      </x:c>
      <x:c r="M4" s="45" t="n">
        <x:v>0</x:v>
      </x:c>
      <x:c r="N4" s="45" t="n">
        <x:v>0</x:v>
      </x:c>
      <x:c r="O4" s="45" t="n">
        <x:v>0</x:v>
      </x:c>
      <x:c r="P4" s="45" t="n">
        <x:f>M4-N4-O4</x:f>
        <x:v>0</x:v>
      </x:c>
      <x:c r="Q4" s="45" t="n">
        <x:f>L4+P4</x:f>
        <x:v>26250000000</x:v>
      </x:c>
      <x:c r="R4" s="45" t="n">
        <x:v>0</x:v>
      </x:c>
      <x:c r="S4" s="45" t="n">
        <x:v>0</x:v>
      </x:c>
      <x:c r="T4" s="45" t="n">
        <x:f>R4+S4</x:f>
        <x:v>0</x:v>
      </x:c>
      <x:c r="U4" s="45" t="n">
        <x:f>Q4-T4</x:f>
        <x:v>26250000000</x:v>
      </x:c>
      <x:c r="V4" s="45" t="n">
        <x:f>IFERROR(G4/D4,0)</x:f>
        <x:v>0.44680851063829785</x:v>
      </x:c>
      <x:c r="W4" s="45" t="n">
        <x:f>IFERROR(L4/D4,0)</x:f>
        <x:v>0.44680851063829785</x:v>
      </x:c>
      <x:c r="X4" s="45" t="n">
        <x:f>IFERROR(U4/D4,0)</x:f>
        <x:v>0.44680851063829785</x:v>
      </x:c>
      <x:c r="Y4" s="45" t="n">
        <x:f>IFERROR(H4/D4,0)</x:f>
        <x:v>0</x:v>
      </x:c>
      <x:c r="Z4" s="45" t="n">
        <x:f>IFERROR(K4/D4,0)</x:f>
        <x:v>0</x:v>
      </x:c>
      <x:c r="AA4" s="45" t="n">
        <x:f>IFERROR(O4/D4,0)</x:f>
        <x:v>0</x:v>
      </x:c>
      <x:c r="AB4" s="45" t="n">
        <x:f>IFERROR(T4/D4,0)</x:f>
        <x:v>0</x:v>
      </x:c>
      <x:c r="AC4" s="45" t="n">
        <x:f>IFERROR(U4/G4,0)</x:f>
        <x:v>1</x:v>
      </x:c>
      <x:c r="AD4" s="45" t="str">
        <x:v>Isi biaya sesuai laporan laba rugi. Revenue/COGS otomatis dari REVENUE_YR; boleh override jika angka final P&amp;L berbeda.</x:v>
      </x:c>
      <x:c r="AF4" s="2" t="str">
        <x:v>Net_Revenue</x:v>
      </x:c>
      <x:c r="AG4" s="2" t="str">
        <x:v>Project_Revenue - Sales_Discount. Ini basis margin.</x:v>
      </x:c>
    </x:row>
    <x:row r="5">
      <x:c r="A5" s="45" t="n">
        <x:v>2024</x:v>
      </x:c>
      <x:c r="B5" s="45" t="n">
        <x:f>IFERROR(SUMIF(REVENUE_YR!$A:$A,A5,REVENUE_YR!$C:$C),0)</x:f>
        <x:v>62700000000</x:v>
      </x:c>
      <x:c r="C5" s="45" t="n">
        <x:v>0</x:v>
      </x:c>
      <x:c r="D5" s="45" t="n">
        <x:f>B5-C5</x:f>
        <x:v>62700000000</x:v>
      </x:c>
      <x:c r="E5" s="45" t="n">
        <x:f>IFERROR(SUMIF(REVENUE_YR!$A:$A,A5,REVENUE_YR!$D:$D),0)</x:f>
        <x:v>35000000000</x:v>
      </x:c>
      <x:c r="F5" s="45" t="n">
        <x:v>0</x:v>
      </x:c>
      <x:c r="G5" s="45" t="n">
        <x:f>D5-E5-F5</x:f>
        <x:v>27700000000</x:v>
      </x:c>
      <x:c r="H5" s="45" t="n">
        <x:v>0</x:v>
      </x:c>
      <x:c r="I5" s="45" t="n">
        <x:v>0</x:v>
      </x:c>
      <x:c r="J5" s="45" t="n">
        <x:v>0</x:v>
      </x:c>
      <x:c r="K5" s="45" t="n">
        <x:f>H5+I5+J5</x:f>
        <x:v>0</x:v>
      </x:c>
      <x:c r="L5" s="45" t="n">
        <x:f>G5-K5</x:f>
        <x:v>27700000000</x:v>
      </x:c>
      <x:c r="M5" s="45" t="n">
        <x:v>0</x:v>
      </x:c>
      <x:c r="N5" s="45" t="n">
        <x:v>0</x:v>
      </x:c>
      <x:c r="O5" s="45" t="n">
        <x:v>0</x:v>
      </x:c>
      <x:c r="P5" s="45" t="n">
        <x:f>M5-N5-O5</x:f>
        <x:v>0</x:v>
      </x:c>
      <x:c r="Q5" s="45" t="n">
        <x:f>L5+P5</x:f>
        <x:v>27700000000</x:v>
      </x:c>
      <x:c r="R5" s="45" t="n">
        <x:v>0</x:v>
      </x:c>
      <x:c r="S5" s="45" t="n">
        <x:v>0</x:v>
      </x:c>
      <x:c r="T5" s="45" t="n">
        <x:f>R5+S5</x:f>
        <x:v>0</x:v>
      </x:c>
      <x:c r="U5" s="45" t="n">
        <x:f>Q5-T5</x:f>
        <x:v>27700000000</x:v>
      </x:c>
      <x:c r="V5" s="45" t="n">
        <x:f>IFERROR(G5/D5,0)</x:f>
        <x:v>0.44178628389154706</x:v>
      </x:c>
      <x:c r="W5" s="45" t="n">
        <x:f>IFERROR(L5/D5,0)</x:f>
        <x:v>0.44178628389154706</x:v>
      </x:c>
      <x:c r="X5" s="45" t="n">
        <x:f>IFERROR(U5/D5,0)</x:f>
        <x:v>0.44178628389154706</x:v>
      </x:c>
      <x:c r="Y5" s="45" t="n">
        <x:f>IFERROR(H5/D5,0)</x:f>
        <x:v>0</x:v>
      </x:c>
      <x:c r="Z5" s="45" t="n">
        <x:f>IFERROR(K5/D5,0)</x:f>
        <x:v>0</x:v>
      </x:c>
      <x:c r="AA5" s="45" t="n">
        <x:f>IFERROR(O5/D5,0)</x:f>
        <x:v>0</x:v>
      </x:c>
      <x:c r="AB5" s="45" t="n">
        <x:f>IFERROR(T5/D5,0)</x:f>
        <x:v>0</x:v>
      </x:c>
      <x:c r="AC5" s="45" t="n">
        <x:f>IFERROR(U5/G5,0)</x:f>
        <x:v>1</x:v>
      </x:c>
      <x:c r="AD5" s="45" t="str">
        <x:v>Isi biaya sesuai laporan laba rugi. Revenue/COGS otomatis dari REVENUE_YR; boleh override jika angka final P&amp;L berbeda.</x:v>
      </x:c>
      <x:c r="AF5" s="2" t="str">
        <x:v>COGS_Direct</x:v>
      </x:c>
      <x:c r="AG5" s="2" t="str">
        <x:v>Harga pokok penjualan/direct cost. Default otomatis dari REVENUE_YR kolom COGS_Direct.</x:v>
      </x:c>
    </x:row>
    <x:row r="6">
      <x:c r="A6" s="45" t="n">
        <x:v>2025</x:v>
      </x:c>
      <x:c r="B6" s="45" t="n">
        <x:f>IFERROR(SUMIF(REVENUE_YR!$A:$A,A6,REVENUE_YR!$C:$C),0)</x:f>
        <x:v>89705623736</x:v>
      </x:c>
      <x:c r="C6" s="45" t="n">
        <x:v>0</x:v>
      </x:c>
      <x:c r="D6" s="45" t="n">
        <x:f>B6-C6</x:f>
        <x:v>89705623736</x:v>
      </x:c>
      <x:c r="E6" s="45" t="n">
        <x:f>IFERROR(SUMIF(REVENUE_YR!$A:$A,A6,REVENUE_YR!$D:$D),0)</x:f>
        <x:v>67368593009</x:v>
      </x:c>
      <x:c r="F6" s="45" t="n">
        <x:v>0</x:v>
      </x:c>
      <x:c r="G6" s="45" t="n">
        <x:f>D6-E6-F6</x:f>
        <x:v>22337030727</x:v>
      </x:c>
      <x:c r="H6" s="45" t="n">
        <x:v>0</x:v>
      </x:c>
      <x:c r="I6" s="45" t="n">
        <x:v>0</x:v>
      </x:c>
      <x:c r="J6" s="45" t="n">
        <x:v>0</x:v>
      </x:c>
      <x:c r="K6" s="45" t="n">
        <x:f>H6+I6+J6</x:f>
        <x:v>0</x:v>
      </x:c>
      <x:c r="L6" s="45" t="n">
        <x:f>G6-K6</x:f>
        <x:v>22337030727</x:v>
      </x:c>
      <x:c r="M6" s="45" t="n">
        <x:v>0</x:v>
      </x:c>
      <x:c r="N6" s="45" t="n">
        <x:v>0</x:v>
      </x:c>
      <x:c r="O6" s="45" t="n">
        <x:v>0</x:v>
      </x:c>
      <x:c r="P6" s="45" t="n">
        <x:f>M6-N6-O6</x:f>
        <x:v>0</x:v>
      </x:c>
      <x:c r="Q6" s="45" t="n">
        <x:f>L6+P6</x:f>
        <x:v>22337030727</x:v>
      </x:c>
      <x:c r="R6" s="45" t="n">
        <x:v>0</x:v>
      </x:c>
      <x:c r="S6" s="45" t="n">
        <x:v>0</x:v>
      </x:c>
      <x:c r="T6" s="45" t="n">
        <x:f>R6+S6</x:f>
        <x:v>0</x:v>
      </x:c>
      <x:c r="U6" s="45" t="n">
        <x:f>Q6-T6</x:f>
        <x:v>22337030727</x:v>
      </x:c>
      <x:c r="V6" s="45" t="n">
        <x:f>IFERROR(G6/D6,0)</x:f>
        <x:v>0.2490036833447251</x:v>
      </x:c>
      <x:c r="W6" s="45" t="n">
        <x:f>IFERROR(L6/D6,0)</x:f>
        <x:v>0.2490036833447251</x:v>
      </x:c>
      <x:c r="X6" s="45" t="n">
        <x:f>IFERROR(U6/D6,0)</x:f>
        <x:v>0.2490036833447251</x:v>
      </x:c>
      <x:c r="Y6" s="45" t="n">
        <x:f>IFERROR(H6/D6,0)</x:f>
        <x:v>0</x:v>
      </x:c>
      <x:c r="Z6" s="45" t="n">
        <x:f>IFERROR(K6/D6,0)</x:f>
        <x:v>0</x:v>
      </x:c>
      <x:c r="AA6" s="45" t="n">
        <x:f>IFERROR(O6/D6,0)</x:f>
        <x:v>0</x:v>
      </x:c>
      <x:c r="AB6" s="45" t="n">
        <x:f>IFERROR(T6/D6,0)</x:f>
        <x:v>0</x:v>
      </x:c>
      <x:c r="AC6" s="45" t="n">
        <x:f>IFERROR(U6/G6,0)</x:f>
        <x:v>1</x:v>
      </x:c>
      <x:c r="AD6" s="45" t="str">
        <x:v>Isi biaya sesuai laporan laba rugi. Revenue/COGS otomatis dari REVENUE_YR; boleh override jika angka final P&amp;L berbeda.</x:v>
      </x:c>
      <x:c r="AF6" s="2" t="str">
        <x:v>Project_Overhead</x:v>
      </x:c>
      <x:c r="AG6" s="2" t="str">
        <x:v>Overhead proyek langsung. Jika sudah masuk COGS, biarkan 0 agar tidak double count.</x:v>
      </x:c>
    </x:row>
    <x:row r="7">
      <x:c r="A7" s="45" t="n">
        <x:v>2026</x:v>
      </x:c>
      <x:c r="B7" s="45" t="n">
        <x:f>IFERROR(SUMIF(REVENUE_YR!$A:$A,A7,REVENUE_YR!$C:$C),0)</x:f>
        <x:v>20000000000</x:v>
      </x:c>
      <x:c r="C7" s="45" t="n">
        <x:v>0</x:v>
      </x:c>
      <x:c r="D7" s="45" t="n">
        <x:f>B7-C7</x:f>
        <x:v>20000000000</x:v>
      </x:c>
      <x:c r="E7" s="45" t="n">
        <x:f>IFERROR(SUMIF(REVENUE_YR!$A:$A,A7,REVENUE_YR!$D:$D),0)</x:f>
        <x:v>17000000000</x:v>
      </x:c>
      <x:c r="F7" s="45" t="n">
        <x:v>0</x:v>
      </x:c>
      <x:c r="G7" s="45" t="n">
        <x:f>D7-E7-F7</x:f>
        <x:v>3000000000</x:v>
      </x:c>
      <x:c r="H7" s="45" t="n">
        <x:v>0</x:v>
      </x:c>
      <x:c r="I7" s="45" t="n">
        <x:v>0</x:v>
      </x:c>
      <x:c r="J7" s="45" t="n">
        <x:v>0</x:v>
      </x:c>
      <x:c r="K7" s="45" t="n">
        <x:f>H7+I7+J7</x:f>
        <x:v>0</x:v>
      </x:c>
      <x:c r="L7" s="45" t="n">
        <x:f>G7-K7</x:f>
        <x:v>3000000000</x:v>
      </x:c>
      <x:c r="M7" s="45" t="n">
        <x:v>0</x:v>
      </x:c>
      <x:c r="N7" s="45" t="n">
        <x:v>0</x:v>
      </x:c>
      <x:c r="O7" s="45" t="n">
        <x:v>0</x:v>
      </x:c>
      <x:c r="P7" s="45" t="n">
        <x:f>M7-N7-O7</x:f>
        <x:v>0</x:v>
      </x:c>
      <x:c r="Q7" s="45" t="n">
        <x:f>L7+P7</x:f>
        <x:v>3000000000</x:v>
      </x:c>
      <x:c r="R7" s="45" t="n">
        <x:v>0</x:v>
      </x:c>
      <x:c r="S7" s="45" t="n">
        <x:v>0</x:v>
      </x:c>
      <x:c r="T7" s="45" t="n">
        <x:f>R7+S7</x:f>
        <x:v>0</x:v>
      </x:c>
      <x:c r="U7" s="45" t="n">
        <x:f>Q7-T7</x:f>
        <x:v>3000000000</x:v>
      </x:c>
      <x:c r="V7" s="45" t="n">
        <x:f>IFERROR(G7/D7,0)</x:f>
        <x:v>0.15</x:v>
      </x:c>
      <x:c r="W7" s="45" t="n">
        <x:f>IFERROR(L7/D7,0)</x:f>
        <x:v>0.15</x:v>
      </x:c>
      <x:c r="X7" s="45" t="n">
        <x:f>IFERROR(U7/D7,0)</x:f>
        <x:v>0.15</x:v>
      </x:c>
      <x:c r="Y7" s="45" t="n">
        <x:f>IFERROR(H7/D7,0)</x:f>
        <x:v>0</x:v>
      </x:c>
      <x:c r="Z7" s="45" t="n">
        <x:f>IFERROR(K7/D7,0)</x:f>
        <x:v>0</x:v>
      </x:c>
      <x:c r="AA7" s="45" t="n">
        <x:f>IFERROR(O7/D7,0)</x:f>
        <x:v>0</x:v>
      </x:c>
      <x:c r="AB7" s="45" t="n">
        <x:f>IFERROR(T7/D7,0)</x:f>
        <x:v>0</x:v>
      </x:c>
      <x:c r="AC7" s="45" t="n">
        <x:f>IFERROR(U7/G7,0)</x:f>
        <x:v>1</x:v>
      </x:c>
      <x:c r="AD7" s="45" t="str">
        <x:v>Isi biaya sesuai laporan laba rugi. Revenue/COGS otomatis dari REVENUE_YR; boleh override jika angka final P&amp;L berbeda.</x:v>
      </x:c>
      <x:c r="AF7" s="2" t="str">
        <x:v>Biaya_Administrasi</x:v>
      </x:c>
      <x:c r="AG7" s="2" t="str">
        <x:v>Biaya admin/umum sesuai P&amp;L. Jika berisi gaji, tetap boleh diisi untuk P&amp;L; PAYROLL_YR tetap dipakai untuk MCR.</x:v>
      </x:c>
    </x:row>
    <x:row r="8">
      <x:c r="AF8" s="2" t="str">
        <x:v>Biaya_Marketing</x:v>
      </x:c>
      <x:c r="AG8" s="2" t="str">
        <x:v>Biaya pemasaran/komersial.</x:v>
      </x:c>
    </x:row>
    <x:row r="9">
      <x:c r="AF9" s="2" t="str">
        <x:v>Biaya_Litbang_RnD</x:v>
      </x:c>
      <x:c r="AG9" s="2" t="str">
        <x:v>Biaya riset/pengembangan/litbang.</x:v>
      </x:c>
    </x:row>
    <x:row r="10">
      <x:c r="AF10" s="2" t="str">
        <x:v>Interest_Expense</x:v>
      </x:c>
      <x:c r="AG10" s="2" t="str">
        <x:v>Beban bunga pinjaman.</x:v>
      </x:c>
    </x:row>
    <x:row r="11">
      <x:c r="AF11" s="2" t="str">
        <x:v>Tax</x:v>
      </x:c>
      <x:c r="AG11" s="2" t="str">
        <x:v>PPh 29 dan PPh 23/4(2), atau pajak lain yang relevan.</x:v>
      </x:c>
    </x:row>
    <x:row r="12">
      <x:c r="AF12" s="2" t="str">
        <x:v>Profit_Conversion</x:v>
      </x:c>
      <x:c r="AG12" s="2" t="str">
        <x:v>Net Profit / Gross Profit. Mengukur berapa laba kotor yang berubah menjadi laba bersih.</x:v>
      </x:c>
    </x:row>
    <x:row r="13">
      <x:c r="AF13" s="2" t="str">
        <x:v>Catatan penting</x:v>
      </x:c>
      <x:c r="AG13" s="2" t="str">
        <x:v>FINANCIALS mengikuti laporan laba/rugi. Jangan mengurangi revenue langsung; ikuti alur Gross Profit -&gt; EBIT -&gt; PBT -&gt; Net Profit.</x:v>
      </x:c>
    </x:row>
    <x:row r="14">
      <x:c r="AF14" s="2" t="str">
        <x:v>Target</x:v>
      </x:c>
      <x:c r="AG14" s="2" t="str">
        <x:v>Threshold default dibuat konservatif untuk bisnis project/system integrator; silakan sesuaikan dengan target Board.</x:v>
      </x:c>
    </x:row>
  </x:sheetData>
  <x:pageMargins left="0.7" right="0.7" top="0.75" bottom="0.75" header="0.3" footer="0.3"/>
  <x:tableParts count="1">
    <x:tablePart xmlns:r="http://schemas.openxmlformats.org/officeDocument/2006/relationships" r:id="R448a423f76614bb1"/>
  </x:tableParts>
</x:worksheet>
</file>