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Dell\Downloads\HR REVENUE\board 2\"/>
    </mc:Choice>
  </mc:AlternateContent>
  <xr:revisionPtr revIDLastSave="0" documentId="13_ncr:1_{73AA6F3B-430F-449C-89F8-A7BCC1FC51F9}" xr6:coauthVersionLast="43" xr6:coauthVersionMax="43" xr10:uidLastSave="{00000000-0000-0000-0000-000000000000}"/>
  <bookViews>
    <workbookView xWindow="-120" yWindow="-120" windowWidth="29040" windowHeight="15840" firstSheet="1" activeTab="6" xr2:uid="{00000000-000D-0000-FFFF-FFFF00000000}"/>
  </bookViews>
  <sheets>
    <sheet name="README" sheetId="1" r:id="rId1"/>
    <sheet name="PARAMETERS" sheetId="2" r:id="rId2"/>
    <sheet name="TARGETS" sheetId="3" r:id="rId3"/>
    <sheet name="FJA_MAPPING" sheetId="4" r:id="rId4"/>
    <sheet name="DIM_DEPARTMENT" sheetId="5" r:id="rId5"/>
    <sheet name="DIM_EMPLOYEE" sheetId="6" r:id="rId6"/>
    <sheet name="REVENUE_YR" sheetId="7" r:id="rId7"/>
    <sheet name="REVENUE_BY_DEPT" sheetId="8" r:id="rId8"/>
    <sheet name="HEADCOUNT_YR" sheetId="9" r:id="rId9"/>
    <sheet name="PAYROLL_YR" sheetId="10" r:id="rId10"/>
    <sheet name="HC_MOVEMENT" sheetId="11" r:id="rId11"/>
    <sheet name="PROJECT_MARGIN" sheetId="12" r:id="rId12"/>
    <sheet name="CAPACITY_INDICATOR" sheetId="13" r:id="rId13"/>
    <sheet name="EXEC_SUMMARY" sheetId="14" r:id="rId14"/>
    <sheet name="CALENDAR" sheetId="15" r:id="rId15"/>
  </sheets>
  <calcPr calcId="191029"/>
</workbook>
</file>

<file path=xl/calcChain.xml><?xml version="1.0" encoding="utf-8"?>
<calcChain xmlns="http://schemas.openxmlformats.org/spreadsheetml/2006/main">
  <c r="E7" i="15" l="1"/>
  <c r="E6" i="15"/>
  <c r="E5" i="15"/>
  <c r="E4" i="15"/>
  <c r="E3" i="15"/>
  <c r="E2" i="15"/>
  <c r="B8" i="14"/>
  <c r="B7" i="14"/>
  <c r="B5" i="14"/>
  <c r="B4" i="14"/>
  <c r="B10" i="14" s="1"/>
  <c r="B11" i="14" s="1"/>
  <c r="H7" i="12"/>
  <c r="G7" i="12"/>
  <c r="G6" i="12"/>
  <c r="H6" i="12" s="1"/>
  <c r="H5" i="12"/>
  <c r="G5" i="12"/>
  <c r="G4" i="12"/>
  <c r="H4" i="12" s="1"/>
  <c r="H3" i="12"/>
  <c r="G3" i="12"/>
  <c r="G2" i="12"/>
  <c r="H2" i="12" s="1"/>
  <c r="E7" i="7"/>
  <c r="F7" i="7" s="1"/>
  <c r="E6" i="7"/>
  <c r="F6" i="7" s="1"/>
  <c r="F5" i="7"/>
  <c r="E5" i="7"/>
  <c r="E4" i="7"/>
  <c r="F4" i="7" s="1"/>
  <c r="F3" i="7"/>
  <c r="E3" i="7"/>
  <c r="E2" i="7"/>
  <c r="F2" i="7" s="1"/>
  <c r="B9" i="14" l="1"/>
  <c r="B6" i="14"/>
  <c r="B12" i="14" s="1"/>
</calcChain>
</file>

<file path=xl/sharedStrings.xml><?xml version="1.0" encoding="utf-8"?>
<sst xmlns="http://schemas.openxmlformats.org/spreadsheetml/2006/main" count="758" uniqueCount="263">
  <si>
    <t>HR vs Revenue Intelligence Platform v2 (Board &amp; CFO Edition)</t>
  </si>
  <si>
    <t>Tujuan template:</t>
  </si>
  <si>
    <t>1. Menjadi data model Excel untuk dashboard Streamlit HR vs Revenue Intelligence Platform v2.</t>
  </si>
  <si>
    <t>2. Menggabungkan analisis Revenue, Headcount, Payroll, Gross Margin, FJA, Capacity Risk, dan Board Decision Center.</t>
  </si>
  <si>
    <t>3. Data dapat diisi manual dari finance/HR/project control tanpa mengubah aplikasi Python.</t>
  </si>
  <si>
    <t>Alur pengisian:</t>
  </si>
  <si>
    <t>1. Isi PARAMETERS dan TARGETS.</t>
  </si>
  <si>
    <t>2. Isi DIM_DEPARTMENT dan FJA_MAPPING.</t>
  </si>
  <si>
    <t>3. Isi transaksi/tahunan: REVENUE_YR, REVENUE_BY_DEPT, HEADCOUNT_YR, PAYROLL_YR.</t>
  </si>
  <si>
    <t>4. Opsional: DIM_EMPLOYEE, HC_MOVEMENT, PROJECT_MARGIN, CAPACITY_INDICATOR.</t>
  </si>
  <si>
    <t>Sheet wajib minimum untuk dashboard berjalan:</t>
  </si>
  <si>
    <t>PARAMETERS, DIM_DEPARTMENT, REVENUE_YR, HEADCOUNT_YR, PAYROLL_YR, FJA_MAPPING, TARGETS.</t>
  </si>
  <si>
    <t>Catatan penting:</t>
  </si>
  <si>
    <t>- Revenue by department idealnya diisi jika ingin analisis produktivitas per departemen/FJA lebih akurat.</t>
  </si>
  <si>
    <t>- Capacity indicators seperti overtime, SLA breach, backlog, dan turnover membuat Capacity Risk lebih defensible di depan Board.</t>
  </si>
  <si>
    <t>- Semua nilai uang diisi dalam currency sesuai PARAMETERS.</t>
  </si>
  <si>
    <t>Update v2.1:</t>
  </si>
  <si>
    <t>Template sample data sudah diperpanjang sampai tahun 2026.</t>
  </si>
  <si>
    <t>Ganti angka sample dengan data aktual sebelum digunakan untuk Board/CFO review.</t>
  </si>
  <si>
    <t>YTD / Annualized Logic:</t>
  </si>
  <si>
    <t>- CALENDAR menentukan jumlah bulan yang sudah closing per tahun.</t>
  </si>
  <si>
    <t>- 2026 diset sebagai YTD Jun dengan Months_Closed = 6.</t>
  </si>
  <si>
    <t>- Dashboard Python v2.1 menyediakan Analysis Mode: Actual dan Annualized.</t>
  </si>
  <si>
    <t>- Annualized mode mengalikan Revenue, COGS, dan Manpower Cost dengan 12 / Months_Closed.</t>
  </si>
  <si>
    <t>- Headcount tidak dianualisasi karena digunakan sebagai average capacity.</t>
  </si>
  <si>
    <t>Parameter</t>
  </si>
  <si>
    <t>Value</t>
  </si>
  <si>
    <t>Description</t>
  </si>
  <si>
    <t>Company_Name</t>
  </si>
  <si>
    <t>Starcom Solusindo</t>
  </si>
  <si>
    <t>Nama perusahaan untuk header dashboard.</t>
  </si>
  <si>
    <t>Currency_Code</t>
  </si>
  <si>
    <t>IDR</t>
  </si>
  <si>
    <t>Kode mata uang dashboard.</t>
  </si>
  <si>
    <t>Start_Year</t>
  </si>
  <si>
    <t>Tahun awal analisis.</t>
  </si>
  <si>
    <t>End_Year</t>
  </si>
  <si>
    <t>Tahun akhir analisis.</t>
  </si>
  <si>
    <t>Dashboard_Mode</t>
  </si>
  <si>
    <t>YEARLY</t>
  </si>
  <si>
    <t>YEARLY untuk template ini.</t>
  </si>
  <si>
    <t>MCR_Healthy_Range</t>
  </si>
  <si>
    <t>5–7%</t>
  </si>
  <si>
    <t>Band final MCR sehat.</t>
  </si>
  <si>
    <t>Gross_Margin_Healthy_Min</t>
  </si>
  <si>
    <t>Minimum Gross Margin sehat.</t>
  </si>
  <si>
    <t>KPI</t>
  </si>
  <si>
    <t>Target_Value</t>
  </si>
  <si>
    <t>Unit</t>
  </si>
  <si>
    <t>Threshold_Band</t>
  </si>
  <si>
    <t>Board_Use</t>
  </si>
  <si>
    <t>Revenue_Growth_Min</t>
  </si>
  <si>
    <t>%</t>
  </si>
  <si>
    <t>&gt;=20% = strong growth</t>
  </si>
  <si>
    <t>Batas minimum pertumbuhan revenue yang dianggap kuat.</t>
  </si>
  <si>
    <t>RPE_Growth_Min</t>
  </si>
  <si>
    <t>&gt;=15% = productivity expansion</t>
  </si>
  <si>
    <t>Batas minimum pertumbuhan Revenue per Employee.</t>
  </si>
  <si>
    <t>Headcount_Growth_Max_High_Leverage</t>
  </si>
  <si>
    <t>&lt;=10% = HC controlled</t>
  </si>
  <si>
    <t>Batas HC growth agar growth tetap high leverage.</t>
  </si>
  <si>
    <t>MCR_Ultra_Efficiency_Max</t>
  </si>
  <si>
    <t>&lt;5% = Ultra Efficiency</t>
  </si>
  <si>
    <t>MCR sangat rendah; perlu validasi kapasitas.</t>
  </si>
  <si>
    <t>MCR_Healthy_Min</t>
  </si>
  <si>
    <t>5–7% = Healthy</t>
  </si>
  <si>
    <t>Batas bawah MCR sehat.</t>
  </si>
  <si>
    <t>MCR_Healthy_Max</t>
  </si>
  <si>
    <t>Batas atas MCR sehat.</t>
  </si>
  <si>
    <t>MCR_Watch_Max</t>
  </si>
  <si>
    <t>7–9% = Watch</t>
  </si>
  <si>
    <t>Zona pantau people-cost.</t>
  </si>
  <si>
    <t>MCR_Cost_Pressure_Max</t>
  </si>
  <si>
    <t>9–14% = Cost Pressure</t>
  </si>
  <si>
    <t>Zona tekanan biaya manpower.</t>
  </si>
  <si>
    <t>MCR_Critical_Min</t>
  </si>
  <si>
    <t>&gt;14% = Critical</t>
  </si>
  <si>
    <t>Level kritikal people-cost terhadap revenue.</t>
  </si>
  <si>
    <t>Gross_Margin_Strong_Min</t>
  </si>
  <si>
    <t>&gt;35% = Strong</t>
  </si>
  <si>
    <t>Margin sangat kuat.</t>
  </si>
  <si>
    <t>25–35% = Healthy</t>
  </si>
  <si>
    <t>Margin sehat.</t>
  </si>
  <si>
    <t>Gross_Margin_Watch_Min</t>
  </si>
  <si>
    <t>15–25% = Watch</t>
  </si>
  <si>
    <t>Margin perlu dipantau.</t>
  </si>
  <si>
    <t>Gross_Margin_Pressure_Min</t>
  </si>
  <si>
    <t>10–15% = Pressure</t>
  </si>
  <si>
    <t>Margin mulai tertekan.</t>
  </si>
  <si>
    <t>Gross_Margin_Critical_Max</t>
  </si>
  <si>
    <t>&lt;10% = Critical</t>
  </si>
  <si>
    <t>Margin kritikal.</t>
  </si>
  <si>
    <t>Function_Group</t>
  </si>
  <si>
    <t>FJA_Category</t>
  </si>
  <si>
    <t>Value_Role</t>
  </si>
  <si>
    <t>Revenue_Impact</t>
  </si>
  <si>
    <t>Board_Interpretation</t>
  </si>
  <si>
    <t>Sales</t>
  </si>
  <si>
    <t>Revenue Generator</t>
  </si>
  <si>
    <t>Direct revenue creation</t>
  </si>
  <si>
    <t>Direct</t>
  </si>
  <si>
    <t>Fungsi penghasil revenue langsung; prioritaskan pipeline, conversion, dan retention sales key person.</t>
  </si>
  <si>
    <t>Operations/Project</t>
  </si>
  <si>
    <t>Revenue Enabler</t>
  </si>
  <si>
    <t>Delivery &amp; project execution</t>
  </si>
  <si>
    <t>Direct/Enabling</t>
  </si>
  <si>
    <t>Fungsi delivery yang mengonversi kontrak menjadi revenue recognized; monitor backlog, SLA, rework, dan utilisasi.</t>
  </si>
  <si>
    <t>Engineering</t>
  </si>
  <si>
    <t>Technical capability &amp; solution delivery</t>
  </si>
  <si>
    <t>Fungsi teknis yang menopang kualitas delivery dan scalability; monitor bottleneck, certification, dan dependency.</t>
  </si>
  <si>
    <t>Support</t>
  </si>
  <si>
    <t>Support Function</t>
  </si>
  <si>
    <t>Back-office support &amp; control</t>
  </si>
  <si>
    <t>Indirect</t>
  </si>
  <si>
    <t>Fungsi pendukung; jaga proporsi agar tidak tumbuh lebih cepat dari revenue driver/enabler.</t>
  </si>
  <si>
    <t>Management</t>
  </si>
  <si>
    <t>Governance / Management</t>
  </si>
  <si>
    <t>Leadership &amp; governance</t>
  </si>
  <si>
    <t>Indirect/Strategic</t>
  </si>
  <si>
    <t>Fungsi pengarah dan kontrol; harus proporsional terhadap growth dan kompleksitas bisnis.</t>
  </si>
  <si>
    <t>UNMAPPED</t>
  </si>
  <si>
    <t>Unmapped</t>
  </si>
  <si>
    <t>Needs cleanup</t>
  </si>
  <si>
    <t>Unknown</t>
  </si>
  <si>
    <t>Mapping belum lengkap; perbaiki Function_Group di DIM_DEPARTMENT agar analisis FJA akurat.</t>
  </si>
  <si>
    <t>Dept_ID</t>
  </si>
  <si>
    <t>Dept_Name</t>
  </si>
  <si>
    <t>Revenue_Driver_Flag</t>
  </si>
  <si>
    <t>FJA_Category_Override</t>
  </si>
  <si>
    <t>Notes</t>
  </si>
  <si>
    <t>D001</t>
  </si>
  <si>
    <t>Y</t>
  </si>
  <si>
    <t>Sales &amp; account management</t>
  </si>
  <si>
    <t>D002</t>
  </si>
  <si>
    <t>Operations</t>
  </si>
  <si>
    <t>Project delivery / operations</t>
  </si>
  <si>
    <t>D003</t>
  </si>
  <si>
    <t>HRGA</t>
  </si>
  <si>
    <t>N</t>
  </si>
  <si>
    <t>People &amp; general affairs</t>
  </si>
  <si>
    <t>D004</t>
  </si>
  <si>
    <t>Procurement</t>
  </si>
  <si>
    <t>Purchasing &amp; vendor management</t>
  </si>
  <si>
    <t>D005</t>
  </si>
  <si>
    <t>Prodev</t>
  </si>
  <si>
    <t>Product/technical development</t>
  </si>
  <si>
    <t>D006</t>
  </si>
  <si>
    <t>Finance</t>
  </si>
  <si>
    <t>Finance &amp; accounting</t>
  </si>
  <si>
    <t>D007</t>
  </si>
  <si>
    <t>Executive/governance</t>
  </si>
  <si>
    <t>Employee_ID</t>
  </si>
  <si>
    <t>Employee_Name</t>
  </si>
  <si>
    <t>Position</t>
  </si>
  <si>
    <t>Employment_Type</t>
  </si>
  <si>
    <t>Join_Date</t>
  </si>
  <si>
    <t>Exit_Date</t>
  </si>
  <si>
    <t>Critical_Role_Flag</t>
  </si>
  <si>
    <t>E001</t>
  </si>
  <si>
    <t>Sample Sales Lead</t>
  </si>
  <si>
    <t>Sales Manager</t>
  </si>
  <si>
    <t>Permanent</t>
  </si>
  <si>
    <t>2021-01-01</t>
  </si>
  <si>
    <t>Example</t>
  </si>
  <si>
    <t>E002</t>
  </si>
  <si>
    <t>Sample Engineer</t>
  </si>
  <si>
    <t>Senior Engineer</t>
  </si>
  <si>
    <t>E003</t>
  </si>
  <si>
    <t>Sample Ops</t>
  </si>
  <si>
    <t>Project Coordinator</t>
  </si>
  <si>
    <t>Contract</t>
  </si>
  <si>
    <t>2022-03-01</t>
  </si>
  <si>
    <t>Year</t>
  </si>
  <si>
    <t>Business_Line</t>
  </si>
  <si>
    <t>Revenue_Recognized</t>
  </si>
  <si>
    <t>COGS_Direct</t>
  </si>
  <si>
    <t>Gross_Profit</t>
  </si>
  <si>
    <t>Gross_Margin_Pct</t>
  </si>
  <si>
    <t>Total Company</t>
  </si>
  <si>
    <t>Sample data - replace with actual</t>
  </si>
  <si>
    <t>Sample 2026 - replace with actual</t>
  </si>
  <si>
    <t>Direct_or_Allocated</t>
  </si>
  <si>
    <t>Allocation_Method</t>
  </si>
  <si>
    <t>Allocated</t>
  </si>
  <si>
    <t>Pipeline/Account ownership</t>
  </si>
  <si>
    <t>Sample</t>
  </si>
  <si>
    <t>Delivery ownership</t>
  </si>
  <si>
    <t>Technical delivery</t>
  </si>
  <si>
    <t>Sample 2026</t>
  </si>
  <si>
    <t>Avg_Headcount</t>
  </si>
  <si>
    <t>Avg_FTE</t>
  </si>
  <si>
    <t>New_Hires</t>
  </si>
  <si>
    <t>Exits</t>
  </si>
  <si>
    <t>Payroll_Gross</t>
  </si>
  <si>
    <t>Overtime</t>
  </si>
  <si>
    <t>Bonus</t>
  </si>
  <si>
    <t>Benefits</t>
  </si>
  <si>
    <t>Employer_Tax</t>
  </si>
  <si>
    <t>Total_Manpower_Cost</t>
  </si>
  <si>
    <t>Payment_Type</t>
  </si>
  <si>
    <t>Payroll</t>
  </si>
  <si>
    <t>Joiners</t>
  </si>
  <si>
    <t>Leavers</t>
  </si>
  <si>
    <t>Internal_Transfer_In</t>
  </si>
  <si>
    <t>Internal_Transfer_Out</t>
  </si>
  <si>
    <t>Project_ID</t>
  </si>
  <si>
    <t>Customer</t>
  </si>
  <si>
    <t>Revenue</t>
  </si>
  <si>
    <t>COGS</t>
  </si>
  <si>
    <t>Project_Status</t>
  </si>
  <si>
    <t>P001</t>
  </si>
  <si>
    <t>Customer A</t>
  </si>
  <si>
    <t>Managed Service</t>
  </si>
  <si>
    <t>Active</t>
  </si>
  <si>
    <t>P002</t>
  </si>
  <si>
    <t>Customer B</t>
  </si>
  <si>
    <t>Network Deployment</t>
  </si>
  <si>
    <t>Closed</t>
  </si>
  <si>
    <t>P003</t>
  </si>
  <si>
    <t>Customer C</t>
  </si>
  <si>
    <t>Maintenance</t>
  </si>
  <si>
    <t>P004</t>
  </si>
  <si>
    <t>Customer D</t>
  </si>
  <si>
    <t>P005</t>
  </si>
  <si>
    <t>Customer E</t>
  </si>
  <si>
    <t>P006</t>
  </si>
  <si>
    <t>Customer F</t>
  </si>
  <si>
    <t>Avg_Utilization_Pct</t>
  </si>
  <si>
    <t>Overtime_Hours</t>
  </si>
  <si>
    <t>Backlog_Count</t>
  </si>
  <si>
    <t>SLA_Breach_Count</t>
  </si>
  <si>
    <t>Incident_Count</t>
  </si>
  <si>
    <t>Turnover_Count</t>
  </si>
  <si>
    <t>Critical_Role_Dependency</t>
  </si>
  <si>
    <t>Medium</t>
  </si>
  <si>
    <t>High</t>
  </si>
  <si>
    <t>Low</t>
  </si>
  <si>
    <t>Executive KPI Preview (Excel-side, optional)</t>
  </si>
  <si>
    <t>Latest Year</t>
  </si>
  <si>
    <t>Total Revenue</t>
  </si>
  <si>
    <t>Total COGS</t>
  </si>
  <si>
    <t>Gross Margin</t>
  </si>
  <si>
    <t>Total Headcount</t>
  </si>
  <si>
    <t>Total Manpower Cost</t>
  </si>
  <si>
    <t>RPE</t>
  </si>
  <si>
    <t>MCR</t>
  </si>
  <si>
    <t>Business Posture Hint</t>
  </si>
  <si>
    <t>Margin Quality Hint</t>
  </si>
  <si>
    <t>Months_Closed</t>
  </si>
  <si>
    <t>Period_Type</t>
  </si>
  <si>
    <t>Period_Label</t>
  </si>
  <si>
    <t>Annualization_Factor</t>
  </si>
  <si>
    <t>Data_Confidence</t>
  </si>
  <si>
    <t>FY</t>
  </si>
  <si>
    <t>FY 2021</t>
  </si>
  <si>
    <t>Full year actual. Comparable with other FY periods.</t>
  </si>
  <si>
    <t>FY 2022</t>
  </si>
  <si>
    <t>FY 2023</t>
  </si>
  <si>
    <t>FY 2024</t>
  </si>
  <si>
    <t>FY 2025</t>
  </si>
  <si>
    <t>YTD</t>
  </si>
  <si>
    <t>YTD Jun 2026</t>
  </si>
  <si>
    <t>YTD actual. Use Annualized mode for fair directional comparison vs FY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</si>
</sst>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%"/>
    <numFmt numFmtId="165" formatCode="yyyy\-mm\-dd"/>
    <numFmt numFmtId="166" formatCode="0.0"/>
    <numFmt numFmtId="167" formatCode="0.00\x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0F172A"/>
      </patternFill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165" fontId="2" fillId="3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/>
    <xf numFmtId="3" fontId="0" fillId="0" borderId="0" xfId="0" applyNumberFormat="1" applyFont="1" applyFill="1" applyBorder="1" applyAlignment="1">
      <alignment wrapText="1"/>
    </xf>
    <xf numFmtId="166" fontId="0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wrapText="1"/>
    </xf>
    <xf numFmtId="0" fontId="0" fillId="0" borderId="0" xfId="0" applyNumberFormat="1" applyFont="1" applyFill="1"/>
    <xf numFmtId="0" fontId="2" fillId="4" borderId="0" xfId="0" applyNumberFormat="1" applyFont="1" applyFill="1" applyBorder="1" applyAlignment="1">
      <alignment wrapText="1"/>
    </xf>
    <xf numFmtId="0" fontId="2" fillId="5" borderId="0" xfId="0" applyNumberFormat="1" applyFont="1" applyFill="1" applyAlignment="1">
      <alignment horizontal="center" vertical="center" wrapText="1"/>
    </xf>
    <xf numFmtId="167" fontId="2" fillId="5" borderId="0" xfId="0" applyNumberFormat="1" applyFont="1" applyFill="1" applyAlignment="1">
      <alignment horizontal="center" vertical="center" wrapText="1"/>
    </xf>
    <xf numFmtId="0" fontId="2" fillId="6" borderId="0" xfId="0" applyNumberFormat="1" applyFont="1" applyFill="1" applyBorder="1" applyAlignment="1">
      <alignment wrapText="1"/>
    </xf>
    <xf numFmtId="41" fontId="0" fillId="0" borderId="0" xfId="1" applyFont="1" applyFill="1" applyAlignment="1">
      <alignment wrapText="1"/>
    </xf>
    <xf numFmtId="41" fontId="0" fillId="0" borderId="0" xfId="0" applyNumberFormat="1"/>
  </cellXfs>
  <cellStyles count="2">
    <cellStyle name="Comma [0]" xfId="1" builtinId="6"/>
    <cellStyle name="Normal" xfId="0" builtinId="0"/>
  </cellStyles>
  <dxfs count="2">
    <dxf>
      <fill>
        <patternFill>
          <bgColor rgb="FFFECACA"/>
        </patternFill>
      </fill>
    </dxf>
    <dxf>
      <fill>
        <patternFill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sTable" displayName="TargetsTable" ref="A1:E15">
  <tableColumns count="5">
    <tableColumn id="1" xr3:uid="{00000000-0010-0000-0000-000001000000}" name="KPI"/>
    <tableColumn id="2" xr3:uid="{00000000-0010-0000-0000-000002000000}" name="Target_Value"/>
    <tableColumn id="3" xr3:uid="{00000000-0010-0000-0000-000003000000}" name="Unit"/>
    <tableColumn id="4" xr3:uid="{00000000-0010-0000-0000-000004000000}" name="Threshold_Band"/>
    <tableColumn id="5" xr3:uid="{00000000-0010-0000-0000-000005000000}" name="Board_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JAMappingTable" displayName="FJAMappingTable" ref="A1:E7">
  <tableColumns count="5">
    <tableColumn id="1" xr3:uid="{00000000-0010-0000-0100-000001000000}" name="Function_Group"/>
    <tableColumn id="2" xr3:uid="{00000000-0010-0000-0100-000002000000}" name="FJA_Category"/>
    <tableColumn id="3" xr3:uid="{00000000-0010-0000-0100-000003000000}" name="Value_Role"/>
    <tableColumn id="4" xr3:uid="{00000000-0010-0000-0100-000004000000}" name="Revenue_Impact"/>
    <tableColumn id="5" xr3:uid="{00000000-0010-0000-0100-000005000000}" name="Board_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DepartmentTable" displayName="DimDepartmentTable" ref="A1:F8">
  <tableColumns count="6">
    <tableColumn id="1" xr3:uid="{00000000-0010-0000-0200-000001000000}" name="Dept_ID"/>
    <tableColumn id="2" xr3:uid="{00000000-0010-0000-0200-000002000000}" name="Dept_Name"/>
    <tableColumn id="3" xr3:uid="{00000000-0010-0000-0200-000003000000}" name="Function_Group"/>
    <tableColumn id="4" xr3:uid="{00000000-0010-0000-0200-000004000000}" name="Revenue_Driver_Flag"/>
    <tableColumn id="5" xr3:uid="{00000000-0010-0000-0200-000005000000}" name="FJA_Category_Override"/>
    <tableColumn id="6" xr3:uid="{00000000-0010-0000-0200-00000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EmployeeTable" displayName="DimEmployeeTable" ref="A1:I4">
  <tableColumns count="9">
    <tableColumn id="1" xr3:uid="{00000000-0010-0000-0300-000001000000}" name="Employee_ID"/>
    <tableColumn id="2" xr3:uid="{00000000-0010-0000-0300-000002000000}" name="Employee_Name"/>
    <tableColumn id="3" xr3:uid="{00000000-0010-0000-0300-000003000000}" name="Dept_ID"/>
    <tableColumn id="4" xr3:uid="{00000000-0010-0000-0300-000004000000}" name="Position"/>
    <tableColumn id="5" xr3:uid="{00000000-0010-0000-0300-000005000000}" name="Employment_Type"/>
    <tableColumn id="6" xr3:uid="{00000000-0010-0000-0300-000006000000}" name="Join_Date"/>
    <tableColumn id="7" xr3:uid="{00000000-0010-0000-0300-000007000000}" name="Exit_Date"/>
    <tableColumn id="8" xr3:uid="{00000000-0010-0000-0300-000008000000}" name="Critical_Role_Flag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venueYearTable" displayName="RevenueYearTable" ref="A1:G6">
  <tableColumns count="7">
    <tableColumn id="1" xr3:uid="{00000000-0010-0000-0400-000001000000}" name="Year"/>
    <tableColumn id="2" xr3:uid="{00000000-0010-0000-0400-000002000000}" name="Business_Line"/>
    <tableColumn id="3" xr3:uid="{00000000-0010-0000-0400-000003000000}" name="Revenue_Recognized" dataCellStyle="Comma [0]"/>
    <tableColumn id="4" xr3:uid="{00000000-0010-0000-0400-000004000000}" name="COGS_Direct" dataCellStyle="Comma [0]"/>
    <tableColumn id="5" xr3:uid="{00000000-0010-0000-0400-000005000000}" name="Gross_Profit" dataCellStyle="Comma [0]"/>
    <tableColumn id="6" xr3:uid="{00000000-0010-0000-0400-000006000000}" name="Gross_Margin_Pct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enueByDeptTable" displayName="RevenueByDeptTable" ref="A1:F16">
  <tableColumns count="6">
    <tableColumn id="1" xr3:uid="{00000000-0010-0000-0500-000001000000}" name="Year"/>
    <tableColumn id="2" xr3:uid="{00000000-0010-0000-0500-000002000000}" name="Dept_ID"/>
    <tableColumn id="3" xr3:uid="{00000000-0010-0000-0500-000003000000}" name="Revenue_Recognized"/>
    <tableColumn id="4" xr3:uid="{00000000-0010-0000-0500-000004000000}" name="Direct_or_Allocated"/>
    <tableColumn id="5" xr3:uid="{00000000-0010-0000-0500-000005000000}" name="Allocation_Method"/>
    <tableColumn id="6" xr3:uid="{00000000-0010-0000-0500-000006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HeadcountYearTable" displayName="HeadcountYearTable" ref="A1:G30">
  <tableColumns count="7">
    <tableColumn id="1" xr3:uid="{00000000-0010-0000-0600-000001000000}" name="Year"/>
    <tableColumn id="2" xr3:uid="{00000000-0010-0000-0600-000002000000}" name="Dept_ID"/>
    <tableColumn id="3" xr3:uid="{00000000-0010-0000-0600-000003000000}" name="Avg_Headcount"/>
    <tableColumn id="4" xr3:uid="{00000000-0010-0000-0600-000004000000}" name="Avg_FTE"/>
    <tableColumn id="5" xr3:uid="{00000000-0010-0000-0600-000005000000}" name="New_Hires"/>
    <tableColumn id="6" xr3:uid="{00000000-0010-0000-0600-000006000000}" name="Exits"/>
    <tableColumn id="7" xr3:uid="{00000000-0010-0000-0600-000007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ayrollYearTable" displayName="PayrollYearTable" ref="A1:J31">
  <tableColumns count="10">
    <tableColumn id="1" xr3:uid="{00000000-0010-0000-0700-000001000000}" name="Year"/>
    <tableColumn id="2" xr3:uid="{00000000-0010-0000-0700-000002000000}" name="Dept_ID"/>
    <tableColumn id="3" xr3:uid="{00000000-0010-0000-0700-000003000000}" name="Payroll_Gross"/>
    <tableColumn id="4" xr3:uid="{00000000-0010-0000-0700-000004000000}" name="Overtime"/>
    <tableColumn id="5" xr3:uid="{00000000-0010-0000-0700-000005000000}" name="Bonus"/>
    <tableColumn id="6" xr3:uid="{00000000-0010-0000-0700-000006000000}" name="Benefits"/>
    <tableColumn id="7" xr3:uid="{00000000-0010-0000-0700-000007000000}" name="Employer_Tax"/>
    <tableColumn id="8" xr3:uid="{00000000-0010-0000-0700-000008000000}" name="Total_Manpower_Cost"/>
    <tableColumn id="9" xr3:uid="{00000000-0010-0000-0700-000009000000}" name="Payment_Type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HCMovementTable" displayName="HCMovementTable" ref="A1:G31">
  <tableColumns count="7">
    <tableColumn id="1" xr3:uid="{00000000-0010-0000-0800-000001000000}" name="Year"/>
    <tableColumn id="2" xr3:uid="{00000000-0010-0000-0800-000002000000}" name="Dept_ID"/>
    <tableColumn id="3" xr3:uid="{00000000-0010-0000-0800-000003000000}" name="Joiners"/>
    <tableColumn id="4" xr3:uid="{00000000-0010-0000-0800-000004000000}" name="Leavers"/>
    <tableColumn id="5" xr3:uid="{00000000-0010-0000-0800-000005000000}" name="Internal_Transfer_In"/>
    <tableColumn id="6" xr3:uid="{00000000-0010-0000-0800-000006000000}" name="Internal_Transfer_Out"/>
    <tableColumn id="7" xr3:uid="{00000000-0010-0000-0800-000007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jectMarginTable" displayName="ProjectMarginTable" ref="A1:J4">
  <tableColumns count="10">
    <tableColumn id="1" xr3:uid="{00000000-0010-0000-0900-000001000000}" name="Year"/>
    <tableColumn id="2" xr3:uid="{00000000-0010-0000-0900-000002000000}" name="Project_ID"/>
    <tableColumn id="3" xr3:uid="{00000000-0010-0000-0900-000003000000}" name="Customer"/>
    <tableColumn id="4" xr3:uid="{00000000-0010-0000-0900-000004000000}" name="Business_Line"/>
    <tableColumn id="5" xr3:uid="{00000000-0010-0000-0900-000005000000}" name="Revenue"/>
    <tableColumn id="6" xr3:uid="{00000000-0010-0000-0900-000006000000}" name="COGS"/>
    <tableColumn id="7" xr3:uid="{00000000-0010-0000-0900-000007000000}" name="Gross_Profit"/>
    <tableColumn id="8" xr3:uid="{00000000-0010-0000-0900-000008000000}" name="Gross_Margin_Pct"/>
    <tableColumn id="9" xr3:uid="{00000000-0010-0000-0900-000009000000}" name="Project_Status"/>
    <tableColumn id="10" xr3:uid="{00000000-0010-0000-0900-00000A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pacityIndicatorTable" displayName="CapacityIndicatorTable" ref="A1:J21">
  <tableColumns count="10">
    <tableColumn id="1" xr3:uid="{00000000-0010-0000-0A00-000001000000}" name="Year"/>
    <tableColumn id="2" xr3:uid="{00000000-0010-0000-0A00-000002000000}" name="Dept_ID"/>
    <tableColumn id="3" xr3:uid="{00000000-0010-0000-0A00-000003000000}" name="Avg_Utilization_Pct"/>
    <tableColumn id="4" xr3:uid="{00000000-0010-0000-0A00-000004000000}" name="Overtime_Hours"/>
    <tableColumn id="5" xr3:uid="{00000000-0010-0000-0A00-000005000000}" name="Backlog_Count"/>
    <tableColumn id="6" xr3:uid="{00000000-0010-0000-0A00-000006000000}" name="SLA_Breach_Count"/>
    <tableColumn id="7" xr3:uid="{00000000-0010-0000-0A00-000007000000}" name="Incident_Count"/>
    <tableColumn id="8" xr3:uid="{00000000-0010-0000-0A00-000008000000}" name="Turnover_Count"/>
    <tableColumn id="9" xr3:uid="{00000000-0010-0000-0A00-000009000000}" name="Critical_Role_Dependency"/>
    <tableColumn id="10" xr3:uid="{00000000-0010-0000-0A00-00000A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B000000}" name="CalendarTable" displayName="CalendarTable" ref="A1:G7">
  <tableColumns count="7">
    <tableColumn id="1" xr3:uid="{00000000-0010-0000-0B00-000001000000}" name="Year"/>
    <tableColumn id="2" xr3:uid="{00000000-0010-0000-0B00-000002000000}" name="Months_Closed"/>
    <tableColumn id="3" xr3:uid="{00000000-0010-0000-0B00-000003000000}" name="Period_Type"/>
    <tableColumn id="4" xr3:uid="{00000000-0010-0000-0B00-000004000000}" name="Period_Label"/>
    <tableColumn id="5" xr3:uid="{00000000-0010-0000-0B00-000005000000}" name="Annualization_Factor"/>
    <tableColumn id="6" xr3:uid="{00000000-0010-0000-0B00-000006000000}" name="Data_Confidence"/>
    <tableColumn id="7" xr3:uid="{00000000-0010-0000-0B00-000007000000}" name="Board_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opLeftCell="A13" workbookViewId="0"/>
  </sheetViews>
  <sheetFormatPr defaultRowHeight="14.25"/>
  <cols>
    <col min="1" max="1" width="120" customWidth="1"/>
  </cols>
  <sheetData>
    <row r="1" spans="1:1" ht="27.95" customHeight="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/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>
      <c r="A14" s="2" t="s">
        <v>10</v>
      </c>
    </row>
    <row r="15" spans="1:1">
      <c r="A15" s="2" t="s">
        <v>11</v>
      </c>
    </row>
    <row r="16" spans="1:1">
      <c r="A16" s="2"/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 ht="15">
      <c r="A21" s="15" t="s">
        <v>16</v>
      </c>
    </row>
    <row r="22" spans="1:1">
      <c r="A22" s="2" t="s">
        <v>17</v>
      </c>
    </row>
    <row r="23" spans="1:1">
      <c r="A23" s="2" t="s">
        <v>18</v>
      </c>
    </row>
    <row r="24" spans="1:1" ht="15">
      <c r="A24" s="18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 t="s">
        <v>22</v>
      </c>
    </row>
    <row r="28" spans="1:1">
      <c r="A28" s="2" t="s">
        <v>23</v>
      </c>
    </row>
    <row r="29" spans="1:1">
      <c r="A29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6" sqref="B6"/>
    </sheetView>
  </sheetViews>
  <sheetFormatPr defaultRowHeight="14.25"/>
  <cols>
    <col min="1" max="1" width="30" customWidth="1"/>
    <col min="2" max="2" width="24" customWidth="1"/>
    <col min="3" max="3" width="70" customWidth="1"/>
  </cols>
  <sheetData>
    <row r="1" spans="1:3" ht="15">
      <c r="A1" s="3" t="s">
        <v>25</v>
      </c>
      <c r="B1" s="3" t="s">
        <v>26</v>
      </c>
      <c r="C1" s="3" t="s">
        <v>27</v>
      </c>
    </row>
    <row r="2" spans="1:3">
      <c r="A2" s="2" t="s">
        <v>28</v>
      </c>
      <c r="B2" s="2" t="s">
        <v>29</v>
      </c>
      <c r="C2" s="2" t="s">
        <v>30</v>
      </c>
    </row>
    <row r="3" spans="1:3">
      <c r="A3" s="2" t="s">
        <v>31</v>
      </c>
      <c r="B3" s="2" t="s">
        <v>32</v>
      </c>
      <c r="C3" s="2" t="s">
        <v>33</v>
      </c>
    </row>
    <row r="4" spans="1:3">
      <c r="A4" s="2" t="s">
        <v>34</v>
      </c>
      <c r="B4" s="2">
        <v>2021</v>
      </c>
      <c r="C4" s="2" t="s">
        <v>35</v>
      </c>
    </row>
    <row r="5" spans="1:3">
      <c r="A5" s="2" t="s">
        <v>36</v>
      </c>
      <c r="B5" s="2">
        <v>2026</v>
      </c>
      <c r="C5" s="2" t="s">
        <v>37</v>
      </c>
    </row>
    <row r="6" spans="1:3">
      <c r="A6" s="2" t="s">
        <v>38</v>
      </c>
      <c r="B6" s="2" t="s">
        <v>39</v>
      </c>
      <c r="C6" s="2" t="s">
        <v>40</v>
      </c>
    </row>
    <row r="7" spans="1:3">
      <c r="A7" s="2" t="s">
        <v>41</v>
      </c>
      <c r="B7" s="2" t="s">
        <v>42</v>
      </c>
      <c r="C7" s="2" t="s">
        <v>43</v>
      </c>
    </row>
    <row r="8" spans="1:3">
      <c r="A8" s="2" t="s">
        <v>44</v>
      </c>
      <c r="B8" s="4">
        <v>0.25</v>
      </c>
      <c r="C8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.25"/>
  <cols>
    <col min="1" max="1" width="38" customWidth="1"/>
    <col min="2" max="2" width="16" customWidth="1"/>
    <col min="3" max="3" width="10" customWidth="1"/>
    <col min="4" max="4" width="28" customWidth="1"/>
    <col min="5" max="5" width="65" customWidth="1"/>
  </cols>
  <sheetData>
    <row r="1" spans="1:5" ht="15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</row>
    <row r="2" spans="1:5">
      <c r="A2" s="2" t="s">
        <v>51</v>
      </c>
      <c r="B2" s="4">
        <v>0.2</v>
      </c>
      <c r="C2" s="2" t="s">
        <v>52</v>
      </c>
      <c r="D2" s="2" t="s">
        <v>53</v>
      </c>
      <c r="E2" s="2" t="s">
        <v>54</v>
      </c>
    </row>
    <row r="3" spans="1:5">
      <c r="A3" s="2" t="s">
        <v>55</v>
      </c>
      <c r="B3" s="4">
        <v>0.15</v>
      </c>
      <c r="C3" s="2" t="s">
        <v>52</v>
      </c>
      <c r="D3" s="2" t="s">
        <v>56</v>
      </c>
      <c r="E3" s="2" t="s">
        <v>57</v>
      </c>
    </row>
    <row r="4" spans="1:5">
      <c r="A4" s="2" t="s">
        <v>58</v>
      </c>
      <c r="B4" s="4">
        <v>0.1</v>
      </c>
      <c r="C4" s="2" t="s">
        <v>52</v>
      </c>
      <c r="D4" s="2" t="s">
        <v>59</v>
      </c>
      <c r="E4" s="2" t="s">
        <v>60</v>
      </c>
    </row>
    <row r="5" spans="1:5">
      <c r="A5" s="2" t="s">
        <v>61</v>
      </c>
      <c r="B5" s="4">
        <v>0.05</v>
      </c>
      <c r="C5" s="2" t="s">
        <v>52</v>
      </c>
      <c r="D5" s="2" t="s">
        <v>62</v>
      </c>
      <c r="E5" s="2" t="s">
        <v>63</v>
      </c>
    </row>
    <row r="6" spans="1:5">
      <c r="A6" s="2" t="s">
        <v>64</v>
      </c>
      <c r="B6" s="4">
        <v>0.05</v>
      </c>
      <c r="C6" s="2" t="s">
        <v>52</v>
      </c>
      <c r="D6" s="2" t="s">
        <v>65</v>
      </c>
      <c r="E6" s="2" t="s">
        <v>66</v>
      </c>
    </row>
    <row r="7" spans="1:5">
      <c r="A7" s="2" t="s">
        <v>67</v>
      </c>
      <c r="B7" s="4">
        <v>7.0000000000000007E-2</v>
      </c>
      <c r="C7" s="2" t="s">
        <v>52</v>
      </c>
      <c r="D7" s="2" t="s">
        <v>65</v>
      </c>
      <c r="E7" s="2" t="s">
        <v>68</v>
      </c>
    </row>
    <row r="8" spans="1:5">
      <c r="A8" s="2" t="s">
        <v>69</v>
      </c>
      <c r="B8" s="4">
        <v>0.09</v>
      </c>
      <c r="C8" s="2" t="s">
        <v>52</v>
      </c>
      <c r="D8" s="2" t="s">
        <v>70</v>
      </c>
      <c r="E8" s="2" t="s">
        <v>71</v>
      </c>
    </row>
    <row r="9" spans="1:5">
      <c r="A9" s="2" t="s">
        <v>72</v>
      </c>
      <c r="B9" s="4">
        <v>0.14000000000000001</v>
      </c>
      <c r="C9" s="2" t="s">
        <v>52</v>
      </c>
      <c r="D9" s="2" t="s">
        <v>73</v>
      </c>
      <c r="E9" s="2" t="s">
        <v>74</v>
      </c>
    </row>
    <row r="10" spans="1:5">
      <c r="A10" s="2" t="s">
        <v>75</v>
      </c>
      <c r="B10" s="4">
        <v>0.14000000000000001</v>
      </c>
      <c r="C10" s="2" t="s">
        <v>52</v>
      </c>
      <c r="D10" s="2" t="s">
        <v>76</v>
      </c>
      <c r="E10" s="2" t="s">
        <v>77</v>
      </c>
    </row>
    <row r="11" spans="1:5">
      <c r="A11" s="2" t="s">
        <v>78</v>
      </c>
      <c r="B11" s="4">
        <v>0.35</v>
      </c>
      <c r="C11" s="2" t="s">
        <v>52</v>
      </c>
      <c r="D11" s="2" t="s">
        <v>79</v>
      </c>
      <c r="E11" s="2" t="s">
        <v>80</v>
      </c>
    </row>
    <row r="12" spans="1:5">
      <c r="A12" s="2" t="s">
        <v>44</v>
      </c>
      <c r="B12" s="4">
        <v>0.25</v>
      </c>
      <c r="C12" s="2" t="s">
        <v>52</v>
      </c>
      <c r="D12" s="2" t="s">
        <v>81</v>
      </c>
      <c r="E12" s="2" t="s">
        <v>82</v>
      </c>
    </row>
    <row r="13" spans="1:5">
      <c r="A13" s="2" t="s">
        <v>83</v>
      </c>
      <c r="B13" s="4">
        <v>0.15</v>
      </c>
      <c r="C13" s="2" t="s">
        <v>52</v>
      </c>
      <c r="D13" s="2" t="s">
        <v>84</v>
      </c>
      <c r="E13" s="2" t="s">
        <v>85</v>
      </c>
    </row>
    <row r="14" spans="1:5">
      <c r="A14" s="2" t="s">
        <v>86</v>
      </c>
      <c r="B14" s="4">
        <v>0.1</v>
      </c>
      <c r="C14" s="2" t="s">
        <v>52</v>
      </c>
      <c r="D14" s="2" t="s">
        <v>87</v>
      </c>
      <c r="E14" s="2" t="s">
        <v>88</v>
      </c>
    </row>
    <row r="15" spans="1:5">
      <c r="A15" s="2" t="s">
        <v>89</v>
      </c>
      <c r="B15" s="4">
        <v>0.1</v>
      </c>
      <c r="C15" s="2" t="s">
        <v>52</v>
      </c>
      <c r="D15" s="2" t="s">
        <v>90</v>
      </c>
      <c r="E15" s="2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6" sqref="E6"/>
    </sheetView>
  </sheetViews>
  <sheetFormatPr defaultRowHeight="14.25"/>
  <cols>
    <col min="1" max="1" width="24" customWidth="1"/>
    <col min="2" max="2" width="28" customWidth="1"/>
    <col min="3" max="3" width="34" customWidth="1"/>
    <col min="4" max="4" width="18" customWidth="1"/>
    <col min="5" max="5" width="70" customWidth="1"/>
  </cols>
  <sheetData>
    <row r="1" spans="1:5" ht="15">
      <c r="A1" s="3" t="s">
        <v>92</v>
      </c>
      <c r="B1" s="3" t="s">
        <v>93</v>
      </c>
      <c r="C1" s="3" t="s">
        <v>94</v>
      </c>
      <c r="D1" s="3" t="s">
        <v>95</v>
      </c>
      <c r="E1" s="3" t="s">
        <v>96</v>
      </c>
    </row>
    <row r="2" spans="1:5" ht="28.5">
      <c r="A2" s="2" t="s">
        <v>97</v>
      </c>
      <c r="B2" s="2" t="s">
        <v>98</v>
      </c>
      <c r="C2" s="2" t="s">
        <v>99</v>
      </c>
      <c r="D2" s="2" t="s">
        <v>100</v>
      </c>
      <c r="E2" s="2" t="s">
        <v>101</v>
      </c>
    </row>
    <row r="3" spans="1:5" ht="28.5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</row>
    <row r="4" spans="1:5" ht="28.5">
      <c r="A4" s="2" t="s">
        <v>107</v>
      </c>
      <c r="B4" s="2" t="s">
        <v>103</v>
      </c>
      <c r="C4" s="2" t="s">
        <v>108</v>
      </c>
      <c r="D4" s="2" t="s">
        <v>105</v>
      </c>
      <c r="E4" s="2" t="s">
        <v>109</v>
      </c>
    </row>
    <row r="5" spans="1:5" ht="28.5">
      <c r="A5" s="2" t="s">
        <v>110</v>
      </c>
      <c r="B5" s="2" t="s">
        <v>111</v>
      </c>
      <c r="C5" s="2" t="s">
        <v>112</v>
      </c>
      <c r="D5" s="2" t="s">
        <v>113</v>
      </c>
      <c r="E5" s="2" t="s">
        <v>114</v>
      </c>
    </row>
    <row r="6" spans="1:5" ht="28.5">
      <c r="A6" s="2" t="s">
        <v>115</v>
      </c>
      <c r="B6" s="2" t="s">
        <v>116</v>
      </c>
      <c r="C6" s="2" t="s">
        <v>117</v>
      </c>
      <c r="D6" s="2" t="s">
        <v>118</v>
      </c>
      <c r="E6" s="2" t="s">
        <v>119</v>
      </c>
    </row>
    <row r="7" spans="1:5" ht="28.5">
      <c r="A7" s="2" t="s">
        <v>120</v>
      </c>
      <c r="B7" s="2" t="s">
        <v>121</v>
      </c>
      <c r="C7" s="2" t="s">
        <v>122</v>
      </c>
      <c r="D7" s="2" t="s">
        <v>123</v>
      </c>
      <c r="E7" s="2" t="s">
        <v>124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F15" sqref="F15"/>
    </sheetView>
  </sheetViews>
  <sheetFormatPr defaultRowHeight="14.25"/>
  <cols>
    <col min="1" max="5" width="22" customWidth="1"/>
    <col min="6" max="6" width="38" customWidth="1"/>
  </cols>
  <sheetData>
    <row r="1" spans="1:6" ht="30">
      <c r="A1" s="3" t="s">
        <v>125</v>
      </c>
      <c r="B1" s="3" t="s">
        <v>126</v>
      </c>
      <c r="C1" s="3" t="s">
        <v>92</v>
      </c>
      <c r="D1" s="3" t="s">
        <v>127</v>
      </c>
      <c r="E1" s="3" t="s">
        <v>128</v>
      </c>
      <c r="F1" s="3" t="s">
        <v>129</v>
      </c>
    </row>
    <row r="2" spans="1:6">
      <c r="A2" s="2" t="s">
        <v>130</v>
      </c>
      <c r="B2" s="2" t="s">
        <v>97</v>
      </c>
      <c r="C2" s="2" t="s">
        <v>97</v>
      </c>
      <c r="D2" s="2" t="s">
        <v>131</v>
      </c>
      <c r="E2" s="2" t="s">
        <v>98</v>
      </c>
      <c r="F2" s="2" t="s">
        <v>132</v>
      </c>
    </row>
    <row r="3" spans="1:6">
      <c r="A3" s="2" t="s">
        <v>133</v>
      </c>
      <c r="B3" s="2" t="s">
        <v>134</v>
      </c>
      <c r="C3" s="2" t="s">
        <v>102</v>
      </c>
      <c r="D3" s="2" t="s">
        <v>131</v>
      </c>
      <c r="E3" s="2" t="s">
        <v>103</v>
      </c>
      <c r="F3" s="2" t="s">
        <v>135</v>
      </c>
    </row>
    <row r="4" spans="1:6">
      <c r="A4" s="2" t="s">
        <v>136</v>
      </c>
      <c r="B4" s="2" t="s">
        <v>137</v>
      </c>
      <c r="C4" s="2" t="s">
        <v>110</v>
      </c>
      <c r="D4" s="2" t="s">
        <v>138</v>
      </c>
      <c r="E4" s="2" t="s">
        <v>111</v>
      </c>
      <c r="F4" s="2" t="s">
        <v>139</v>
      </c>
    </row>
    <row r="5" spans="1:6">
      <c r="A5" s="2" t="s">
        <v>140</v>
      </c>
      <c r="B5" s="2" t="s">
        <v>141</v>
      </c>
      <c r="C5" s="2" t="s">
        <v>110</v>
      </c>
      <c r="D5" s="2" t="s">
        <v>138</v>
      </c>
      <c r="E5" s="2" t="s">
        <v>111</v>
      </c>
      <c r="F5" s="2" t="s">
        <v>142</v>
      </c>
    </row>
    <row r="6" spans="1:6">
      <c r="A6" s="2" t="s">
        <v>143</v>
      </c>
      <c r="B6" s="2" t="s">
        <v>144</v>
      </c>
      <c r="C6" s="2" t="s">
        <v>107</v>
      </c>
      <c r="D6" s="2" t="s">
        <v>131</v>
      </c>
      <c r="E6" s="2" t="s">
        <v>103</v>
      </c>
      <c r="F6" s="2" t="s">
        <v>145</v>
      </c>
    </row>
    <row r="7" spans="1:6">
      <c r="A7" s="2" t="s">
        <v>146</v>
      </c>
      <c r="B7" s="2" t="s">
        <v>147</v>
      </c>
      <c r="C7" s="2" t="s">
        <v>110</v>
      </c>
      <c r="D7" s="2" t="s">
        <v>138</v>
      </c>
      <c r="E7" s="2" t="s">
        <v>111</v>
      </c>
      <c r="F7" s="2" t="s">
        <v>148</v>
      </c>
    </row>
    <row r="8" spans="1:6" ht="28.5">
      <c r="A8" s="2" t="s">
        <v>149</v>
      </c>
      <c r="B8" s="2" t="s">
        <v>115</v>
      </c>
      <c r="C8" s="2" t="s">
        <v>115</v>
      </c>
      <c r="D8" s="2" t="s">
        <v>138</v>
      </c>
      <c r="E8" s="2" t="s">
        <v>116</v>
      </c>
      <c r="F8" s="2" t="s">
        <v>150</v>
      </c>
    </row>
  </sheetData>
  <dataValidations count="3">
    <dataValidation type="list" sqref="C2:C200" xr:uid="{00000000-0002-0000-0400-000000000000}">
      <formula1>"Sales,Operations/Project,Engineering,Support,Management"</formula1>
    </dataValidation>
    <dataValidation type="list" sqref="D2:D200" xr:uid="{00000000-0002-0000-0400-000001000000}">
      <formula1>"Y,N"</formula1>
    </dataValidation>
    <dataValidation type="list" sqref="E2:E200" xr:uid="{00000000-0002-0000-0400-000002000000}">
      <formula1>",Revenue Generator,Revenue Enabler,Support Function,Governance / Management,Unmapped"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activeCell="B4" sqref="B4"/>
    </sheetView>
  </sheetViews>
  <sheetFormatPr defaultRowHeight="14.25"/>
  <cols>
    <col min="1" max="1" width="20" customWidth="1"/>
    <col min="2" max="2" width="26" customWidth="1"/>
    <col min="3" max="3" width="20" customWidth="1"/>
    <col min="4" max="4" width="26" customWidth="1"/>
    <col min="5" max="9" width="20" customWidth="1"/>
  </cols>
  <sheetData>
    <row r="1" spans="1:9" ht="15">
      <c r="A1" s="3" t="s">
        <v>151</v>
      </c>
      <c r="B1" s="3" t="s">
        <v>152</v>
      </c>
      <c r="C1" s="3" t="s">
        <v>125</v>
      </c>
      <c r="D1" s="3" t="s">
        <v>153</v>
      </c>
      <c r="E1" s="3" t="s">
        <v>154</v>
      </c>
      <c r="F1" s="5" t="s">
        <v>155</v>
      </c>
      <c r="G1" s="5" t="s">
        <v>156</v>
      </c>
      <c r="H1" s="3" t="s">
        <v>157</v>
      </c>
      <c r="I1" s="3" t="s">
        <v>129</v>
      </c>
    </row>
    <row r="2" spans="1:9">
      <c r="A2" s="2" t="s">
        <v>158</v>
      </c>
      <c r="B2" s="2" t="s">
        <v>159</v>
      </c>
      <c r="C2" s="2" t="s">
        <v>130</v>
      </c>
      <c r="D2" s="2" t="s">
        <v>160</v>
      </c>
      <c r="E2" s="2" t="s">
        <v>161</v>
      </c>
      <c r="F2" s="2" t="s">
        <v>162</v>
      </c>
      <c r="G2" s="2"/>
      <c r="H2" s="2" t="s">
        <v>131</v>
      </c>
      <c r="I2" s="2" t="s">
        <v>163</v>
      </c>
    </row>
    <row r="3" spans="1:9">
      <c r="A3" s="2" t="s">
        <v>164</v>
      </c>
      <c r="B3" s="2" t="s">
        <v>165</v>
      </c>
      <c r="C3" s="2" t="s">
        <v>143</v>
      </c>
      <c r="D3" s="2" t="s">
        <v>166</v>
      </c>
      <c r="E3" s="2" t="s">
        <v>161</v>
      </c>
      <c r="F3" s="2" t="s">
        <v>162</v>
      </c>
      <c r="G3" s="2"/>
      <c r="H3" s="2" t="s">
        <v>131</v>
      </c>
      <c r="I3" s="2" t="s">
        <v>163</v>
      </c>
    </row>
    <row r="4" spans="1:9">
      <c r="A4" s="2" t="s">
        <v>167</v>
      </c>
      <c r="B4" s="2" t="s">
        <v>168</v>
      </c>
      <c r="C4" s="2" t="s">
        <v>133</v>
      </c>
      <c r="D4" s="2" t="s">
        <v>169</v>
      </c>
      <c r="E4" s="2" t="s">
        <v>170</v>
      </c>
      <c r="F4" s="2" t="s">
        <v>171</v>
      </c>
      <c r="G4" s="2"/>
      <c r="H4" s="2" t="s">
        <v>138</v>
      </c>
      <c r="I4" s="2" t="s">
        <v>163</v>
      </c>
    </row>
  </sheetData>
  <dataValidations count="2">
    <dataValidation type="list" sqref="E2:E500" xr:uid="{00000000-0002-0000-0500-000000000000}">
      <formula1>"Permanent,Contract,Freelance,Outsource,Intern"</formula1>
    </dataValidation>
    <dataValidation type="list" sqref="H2:H500" xr:uid="{00000000-0002-0000-0500-000001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tabSelected="1" workbookViewId="0">
      <selection activeCell="G19" sqref="G19"/>
    </sheetView>
  </sheetViews>
  <sheetFormatPr defaultRowHeight="14.25"/>
  <cols>
    <col min="1" max="6" width="22" customWidth="1"/>
    <col min="7" max="7" width="34" customWidth="1"/>
  </cols>
  <sheetData>
    <row r="1" spans="1:7" ht="15">
      <c r="A1" s="10" t="s">
        <v>172</v>
      </c>
      <c r="B1" s="10" t="s">
        <v>173</v>
      </c>
      <c r="C1" s="11" t="s">
        <v>174</v>
      </c>
      <c r="D1" s="11" t="s">
        <v>175</v>
      </c>
      <c r="E1" s="11" t="s">
        <v>176</v>
      </c>
      <c r="F1" s="12" t="s">
        <v>177</v>
      </c>
      <c r="G1" s="10" t="s">
        <v>129</v>
      </c>
    </row>
    <row r="2" spans="1:7">
      <c r="A2" s="13">
        <v>2021</v>
      </c>
      <c r="B2" s="13" t="s">
        <v>178</v>
      </c>
      <c r="C2" s="19">
        <v>45048932718</v>
      </c>
      <c r="D2" s="19">
        <v>23425445013</v>
      </c>
      <c r="E2" s="19">
        <f t="shared" ref="E2:E7" si="0">C2-D2</f>
        <v>21623487705</v>
      </c>
      <c r="F2" s="13">
        <f t="shared" ref="F2:F7" si="1">IF(C2&gt;0,E2/C2,"")</f>
        <v>0.48000000000799131</v>
      </c>
      <c r="G2" s="13" t="s">
        <v>179</v>
      </c>
    </row>
    <row r="3" spans="1:7">
      <c r="A3" s="13">
        <v>2022</v>
      </c>
      <c r="B3" s="13" t="s">
        <v>178</v>
      </c>
      <c r="C3" s="19">
        <v>51100000000</v>
      </c>
      <c r="D3" s="19">
        <v>27000000000</v>
      </c>
      <c r="E3" s="19">
        <f t="shared" si="0"/>
        <v>24100000000</v>
      </c>
      <c r="F3" s="13">
        <f t="shared" si="1"/>
        <v>0.47162426614481406</v>
      </c>
      <c r="G3" s="13" t="s">
        <v>179</v>
      </c>
    </row>
    <row r="4" spans="1:7">
      <c r="A4" s="13">
        <v>2023</v>
      </c>
      <c r="B4" s="13" t="s">
        <v>178</v>
      </c>
      <c r="C4" s="19">
        <v>58750000000</v>
      </c>
      <c r="D4" s="19">
        <v>32500000000</v>
      </c>
      <c r="E4" s="19">
        <f t="shared" si="0"/>
        <v>26250000000</v>
      </c>
      <c r="F4" s="13">
        <f t="shared" si="1"/>
        <v>0.44680851063829785</v>
      </c>
      <c r="G4" s="13" t="s">
        <v>179</v>
      </c>
    </row>
    <row r="5" spans="1:7">
      <c r="A5" s="13">
        <v>2024</v>
      </c>
      <c r="B5" s="13" t="s">
        <v>178</v>
      </c>
      <c r="C5" s="19">
        <v>62700000000</v>
      </c>
      <c r="D5" s="19">
        <v>35000000000</v>
      </c>
      <c r="E5" s="19">
        <f t="shared" si="0"/>
        <v>27700000000</v>
      </c>
      <c r="F5" s="13">
        <f t="shared" si="1"/>
        <v>0.44178628389154706</v>
      </c>
      <c r="G5" s="13" t="s">
        <v>179</v>
      </c>
    </row>
    <row r="6" spans="1:7">
      <c r="A6" s="13">
        <v>2025</v>
      </c>
      <c r="B6" s="13" t="s">
        <v>178</v>
      </c>
      <c r="C6" s="19">
        <v>89705623736</v>
      </c>
      <c r="D6" s="19">
        <v>67368593009</v>
      </c>
      <c r="E6" s="19">
        <f t="shared" si="0"/>
        <v>22337030727</v>
      </c>
      <c r="F6" s="13">
        <f t="shared" si="1"/>
        <v>0.24900368334472511</v>
      </c>
      <c r="G6" s="13" t="s">
        <v>179</v>
      </c>
    </row>
    <row r="7" spans="1:7">
      <c r="A7" s="13">
        <v>2026</v>
      </c>
      <c r="B7" s="13" t="s">
        <v>178</v>
      </c>
      <c r="C7" s="19">
        <v>20000000000</v>
      </c>
      <c r="D7" s="20">
        <v>17000000000</v>
      </c>
      <c r="E7" s="19">
        <f t="shared" si="0"/>
        <v>3000000000</v>
      </c>
      <c r="F7" s="13">
        <f t="shared" si="1"/>
        <v>0.15</v>
      </c>
      <c r="G7" s="13" t="s">
        <v>180</v>
      </c>
    </row>
    <row r="13" spans="1:7">
      <c r="D13" s="2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activeCell="C2" sqref="C2"/>
    </sheetView>
  </sheetViews>
  <sheetFormatPr defaultRowHeight="14.25"/>
  <cols>
    <col min="1" max="4" width="22" customWidth="1"/>
    <col min="5" max="6" width="32" customWidth="1"/>
  </cols>
  <sheetData>
    <row r="1" spans="1:6" ht="15">
      <c r="A1" s="10" t="s">
        <v>172</v>
      </c>
      <c r="B1" s="10" t="s">
        <v>125</v>
      </c>
      <c r="C1" s="11" t="s">
        <v>174</v>
      </c>
      <c r="D1" s="10" t="s">
        <v>181</v>
      </c>
      <c r="E1" s="10" t="s">
        <v>182</v>
      </c>
      <c r="F1" s="10" t="s">
        <v>129</v>
      </c>
    </row>
    <row r="2" spans="1:6">
      <c r="A2" s="13">
        <v>2021</v>
      </c>
      <c r="B2" s="13" t="s">
        <v>130</v>
      </c>
      <c r="C2" s="13">
        <v>18019573087</v>
      </c>
      <c r="D2" s="13" t="s">
        <v>183</v>
      </c>
      <c r="E2" s="13" t="s">
        <v>184</v>
      </c>
      <c r="F2" s="13" t="s">
        <v>185</v>
      </c>
    </row>
    <row r="3" spans="1:6">
      <c r="A3" s="13">
        <v>2021</v>
      </c>
      <c r="B3" s="13" t="s">
        <v>133</v>
      </c>
      <c r="C3" s="13">
        <v>15767126451</v>
      </c>
      <c r="D3" s="13" t="s">
        <v>183</v>
      </c>
      <c r="E3" s="13" t="s">
        <v>186</v>
      </c>
      <c r="F3" s="13" t="s">
        <v>185</v>
      </c>
    </row>
    <row r="4" spans="1:6">
      <c r="A4" s="13">
        <v>2021</v>
      </c>
      <c r="B4" s="13" t="s">
        <v>143</v>
      </c>
      <c r="C4" s="13">
        <v>11262233180</v>
      </c>
      <c r="D4" s="13" t="s">
        <v>183</v>
      </c>
      <c r="E4" s="13" t="s">
        <v>187</v>
      </c>
      <c r="F4" s="13" t="s">
        <v>185</v>
      </c>
    </row>
    <row r="5" spans="1:6">
      <c r="A5" s="13">
        <v>2022</v>
      </c>
      <c r="B5" s="13" t="s">
        <v>130</v>
      </c>
      <c r="C5" s="13">
        <v>20440000000</v>
      </c>
      <c r="D5" s="13" t="s">
        <v>183</v>
      </c>
      <c r="E5" s="13" t="s">
        <v>184</v>
      </c>
      <c r="F5" s="13" t="s">
        <v>185</v>
      </c>
    </row>
    <row r="6" spans="1:6">
      <c r="A6" s="13">
        <v>2022</v>
      </c>
      <c r="B6" s="13" t="s">
        <v>133</v>
      </c>
      <c r="C6" s="13">
        <v>17885000000</v>
      </c>
      <c r="D6" s="13" t="s">
        <v>183</v>
      </c>
      <c r="E6" s="13" t="s">
        <v>186</v>
      </c>
      <c r="F6" s="13" t="s">
        <v>185</v>
      </c>
    </row>
    <row r="7" spans="1:6">
      <c r="A7" s="13">
        <v>2022</v>
      </c>
      <c r="B7" s="13" t="s">
        <v>143</v>
      </c>
      <c r="C7" s="13">
        <v>12775000000</v>
      </c>
      <c r="D7" s="13" t="s">
        <v>183</v>
      </c>
      <c r="E7" s="13" t="s">
        <v>187</v>
      </c>
      <c r="F7" s="13" t="s">
        <v>185</v>
      </c>
    </row>
    <row r="8" spans="1:6">
      <c r="A8" s="13">
        <v>2023</v>
      </c>
      <c r="B8" s="13" t="s">
        <v>130</v>
      </c>
      <c r="C8" s="13">
        <v>23500000000</v>
      </c>
      <c r="D8" s="13" t="s">
        <v>183</v>
      </c>
      <c r="E8" s="13" t="s">
        <v>184</v>
      </c>
      <c r="F8" s="13" t="s">
        <v>185</v>
      </c>
    </row>
    <row r="9" spans="1:6">
      <c r="A9" s="13">
        <v>2023</v>
      </c>
      <c r="B9" s="13" t="s">
        <v>133</v>
      </c>
      <c r="C9" s="13">
        <v>20562500000</v>
      </c>
      <c r="D9" s="13" t="s">
        <v>183</v>
      </c>
      <c r="E9" s="13" t="s">
        <v>186</v>
      </c>
      <c r="F9" s="13" t="s">
        <v>185</v>
      </c>
    </row>
    <row r="10" spans="1:6">
      <c r="A10" s="13">
        <v>2023</v>
      </c>
      <c r="B10" s="13" t="s">
        <v>143</v>
      </c>
      <c r="C10" s="13">
        <v>14687500000</v>
      </c>
      <c r="D10" s="13" t="s">
        <v>183</v>
      </c>
      <c r="E10" s="13" t="s">
        <v>187</v>
      </c>
      <c r="F10" s="13" t="s">
        <v>185</v>
      </c>
    </row>
    <row r="11" spans="1:6">
      <c r="A11" s="13">
        <v>2024</v>
      </c>
      <c r="B11" s="13" t="s">
        <v>130</v>
      </c>
      <c r="C11" s="13">
        <v>25080000000</v>
      </c>
      <c r="D11" s="13" t="s">
        <v>183</v>
      </c>
      <c r="E11" s="13" t="s">
        <v>184</v>
      </c>
      <c r="F11" s="13" t="s">
        <v>185</v>
      </c>
    </row>
    <row r="12" spans="1:6">
      <c r="A12" s="13">
        <v>2024</v>
      </c>
      <c r="B12" s="13" t="s">
        <v>133</v>
      </c>
      <c r="C12" s="13">
        <v>21945000000</v>
      </c>
      <c r="D12" s="13" t="s">
        <v>183</v>
      </c>
      <c r="E12" s="13" t="s">
        <v>186</v>
      </c>
      <c r="F12" s="13" t="s">
        <v>185</v>
      </c>
    </row>
    <row r="13" spans="1:6">
      <c r="A13" s="13">
        <v>2024</v>
      </c>
      <c r="B13" s="13" t="s">
        <v>143</v>
      </c>
      <c r="C13" s="13">
        <v>15675000000</v>
      </c>
      <c r="D13" s="13" t="s">
        <v>183</v>
      </c>
      <c r="E13" s="13" t="s">
        <v>187</v>
      </c>
      <c r="F13" s="13" t="s">
        <v>185</v>
      </c>
    </row>
    <row r="14" spans="1:6">
      <c r="A14" s="13">
        <v>2025</v>
      </c>
      <c r="B14" s="13" t="s">
        <v>130</v>
      </c>
      <c r="C14" s="13">
        <v>35882249494</v>
      </c>
      <c r="D14" s="13" t="s">
        <v>183</v>
      </c>
      <c r="E14" s="13" t="s">
        <v>184</v>
      </c>
      <c r="F14" s="13" t="s">
        <v>185</v>
      </c>
    </row>
    <row r="15" spans="1:6">
      <c r="A15" s="13">
        <v>2025</v>
      </c>
      <c r="B15" s="13" t="s">
        <v>133</v>
      </c>
      <c r="C15" s="13">
        <v>31396968308</v>
      </c>
      <c r="D15" s="13" t="s">
        <v>183</v>
      </c>
      <c r="E15" s="13" t="s">
        <v>186</v>
      </c>
      <c r="F15" s="13" t="s">
        <v>185</v>
      </c>
    </row>
    <row r="16" spans="1:6">
      <c r="A16" s="13">
        <v>2025</v>
      </c>
      <c r="B16" s="13" t="s">
        <v>143</v>
      </c>
      <c r="C16" s="13">
        <v>22426405934</v>
      </c>
      <c r="D16" s="13" t="s">
        <v>183</v>
      </c>
      <c r="E16" s="13" t="s">
        <v>187</v>
      </c>
      <c r="F16" s="13" t="s">
        <v>185</v>
      </c>
    </row>
    <row r="17" spans="1:6">
      <c r="A17" s="13">
        <v>2026</v>
      </c>
      <c r="B17" s="13" t="s">
        <v>130</v>
      </c>
      <c r="C17" s="13">
        <v>39400000000</v>
      </c>
      <c r="D17" s="13" t="s">
        <v>183</v>
      </c>
      <c r="E17" s="13" t="s">
        <v>184</v>
      </c>
      <c r="F17" s="13" t="s">
        <v>188</v>
      </c>
    </row>
    <row r="18" spans="1:6">
      <c r="A18" s="13">
        <v>2026</v>
      </c>
      <c r="B18" s="13" t="s">
        <v>133</v>
      </c>
      <c r="C18" s="13">
        <v>34475000000</v>
      </c>
      <c r="D18" s="13" t="s">
        <v>183</v>
      </c>
      <c r="E18" s="13" t="s">
        <v>186</v>
      </c>
      <c r="F18" s="13" t="s">
        <v>188</v>
      </c>
    </row>
    <row r="19" spans="1:6">
      <c r="A19" s="13">
        <v>2026</v>
      </c>
      <c r="B19" s="13" t="s">
        <v>143</v>
      </c>
      <c r="C19" s="13">
        <v>24625000000</v>
      </c>
      <c r="D19" s="13" t="s">
        <v>183</v>
      </c>
      <c r="E19" s="13" t="s">
        <v>187</v>
      </c>
      <c r="F19" s="13" t="s">
        <v>188</v>
      </c>
    </row>
  </sheetData>
  <dataValidations count="1">
    <dataValidation type="list" sqref="D2:D500" xr:uid="{00000000-0002-0000-0700-000000000000}">
      <formula1>"Direct,Allocated"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workbookViewId="0">
      <selection activeCell="F2" sqref="F2"/>
    </sheetView>
  </sheetViews>
  <sheetFormatPr defaultRowHeight="14.25"/>
  <cols>
    <col min="1" max="6" width="18" customWidth="1"/>
    <col min="7" max="7" width="30" customWidth="1"/>
  </cols>
  <sheetData>
    <row r="1" spans="1:7" ht="15">
      <c r="A1" s="10" t="s">
        <v>172</v>
      </c>
      <c r="B1" s="10" t="s">
        <v>125</v>
      </c>
      <c r="C1" s="10" t="s">
        <v>189</v>
      </c>
      <c r="D1" s="10" t="s">
        <v>190</v>
      </c>
      <c r="E1" s="10" t="s">
        <v>191</v>
      </c>
      <c r="F1" s="10" t="s">
        <v>192</v>
      </c>
      <c r="G1" s="10" t="s">
        <v>129</v>
      </c>
    </row>
    <row r="2" spans="1:7">
      <c r="A2" s="13">
        <v>2021</v>
      </c>
      <c r="B2" s="13" t="s">
        <v>130</v>
      </c>
      <c r="C2" s="13">
        <v>8</v>
      </c>
      <c r="D2" s="13">
        <v>8</v>
      </c>
      <c r="E2" s="13">
        <v>0</v>
      </c>
      <c r="F2" s="13">
        <v>0</v>
      </c>
      <c r="G2" s="13" t="s">
        <v>185</v>
      </c>
    </row>
    <row r="3" spans="1:7">
      <c r="A3" s="13">
        <v>2021</v>
      </c>
      <c r="B3" s="13" t="s">
        <v>133</v>
      </c>
      <c r="C3" s="13">
        <v>25</v>
      </c>
      <c r="D3" s="13">
        <v>25</v>
      </c>
      <c r="E3" s="13">
        <v>0</v>
      </c>
      <c r="F3" s="13">
        <v>0</v>
      </c>
      <c r="G3" s="13" t="s">
        <v>185</v>
      </c>
    </row>
    <row r="4" spans="1:7">
      <c r="A4" s="13">
        <v>2021</v>
      </c>
      <c r="B4" s="13" t="s">
        <v>136</v>
      </c>
      <c r="C4" s="13">
        <v>7</v>
      </c>
      <c r="D4" s="13">
        <v>7</v>
      </c>
      <c r="E4" s="13">
        <v>0</v>
      </c>
      <c r="F4" s="13">
        <v>0</v>
      </c>
      <c r="G4" s="13" t="s">
        <v>185</v>
      </c>
    </row>
    <row r="5" spans="1:7">
      <c r="A5" s="13">
        <v>2021</v>
      </c>
      <c r="B5" s="13" t="s">
        <v>140</v>
      </c>
      <c r="C5" s="13">
        <v>5</v>
      </c>
      <c r="D5" s="13">
        <v>5</v>
      </c>
      <c r="E5" s="13">
        <v>0</v>
      </c>
      <c r="F5" s="13">
        <v>0</v>
      </c>
      <c r="G5" s="13" t="s">
        <v>185</v>
      </c>
    </row>
    <row r="6" spans="1:7">
      <c r="A6" s="13">
        <v>2021</v>
      </c>
      <c r="B6" s="13" t="s">
        <v>143</v>
      </c>
      <c r="C6" s="13">
        <v>14</v>
      </c>
      <c r="D6" s="13">
        <v>14</v>
      </c>
      <c r="E6" s="13">
        <v>0</v>
      </c>
      <c r="F6" s="13">
        <v>0</v>
      </c>
      <c r="G6" s="13" t="s">
        <v>185</v>
      </c>
    </row>
    <row r="7" spans="1:7">
      <c r="A7" s="13">
        <v>2021</v>
      </c>
      <c r="B7" s="13" t="s">
        <v>146</v>
      </c>
      <c r="C7" s="13">
        <v>5</v>
      </c>
      <c r="D7" s="13">
        <v>5</v>
      </c>
      <c r="E7" s="13">
        <v>0</v>
      </c>
      <c r="F7" s="13">
        <v>0</v>
      </c>
      <c r="G7" s="13" t="s">
        <v>185</v>
      </c>
    </row>
    <row r="8" spans="1:7">
      <c r="A8" s="13">
        <v>2022</v>
      </c>
      <c r="B8" s="13" t="s">
        <v>130</v>
      </c>
      <c r="C8" s="13">
        <v>8</v>
      </c>
      <c r="D8" s="13">
        <v>8</v>
      </c>
      <c r="E8" s="13">
        <v>0</v>
      </c>
      <c r="F8" s="13">
        <v>0</v>
      </c>
      <c r="G8" s="13" t="s">
        <v>185</v>
      </c>
    </row>
    <row r="9" spans="1:7">
      <c r="A9" s="13">
        <v>2022</v>
      </c>
      <c r="B9" s="13" t="s">
        <v>133</v>
      </c>
      <c r="C9" s="13">
        <v>27</v>
      </c>
      <c r="D9" s="13">
        <v>27</v>
      </c>
      <c r="E9" s="13">
        <v>0</v>
      </c>
      <c r="F9" s="13">
        <v>0</v>
      </c>
      <c r="G9" s="13" t="s">
        <v>185</v>
      </c>
    </row>
    <row r="10" spans="1:7">
      <c r="A10" s="13">
        <v>2022</v>
      </c>
      <c r="B10" s="13" t="s">
        <v>136</v>
      </c>
      <c r="C10" s="13">
        <v>7</v>
      </c>
      <c r="D10" s="13">
        <v>7</v>
      </c>
      <c r="E10" s="13">
        <v>0</v>
      </c>
      <c r="F10" s="13">
        <v>0</v>
      </c>
      <c r="G10" s="13" t="s">
        <v>185</v>
      </c>
    </row>
    <row r="11" spans="1:7">
      <c r="A11" s="13">
        <v>2022</v>
      </c>
      <c r="B11" s="13" t="s">
        <v>140</v>
      </c>
      <c r="C11" s="13">
        <v>5</v>
      </c>
      <c r="D11" s="13">
        <v>5</v>
      </c>
      <c r="E11" s="13">
        <v>0</v>
      </c>
      <c r="F11" s="13">
        <v>0</v>
      </c>
      <c r="G11" s="13" t="s">
        <v>185</v>
      </c>
    </row>
    <row r="12" spans="1:7">
      <c r="A12" s="13">
        <v>2022</v>
      </c>
      <c r="B12" s="13" t="s">
        <v>143</v>
      </c>
      <c r="C12" s="13">
        <v>14</v>
      </c>
      <c r="D12" s="13">
        <v>14</v>
      </c>
      <c r="E12" s="13">
        <v>0</v>
      </c>
      <c r="F12" s="13">
        <v>0</v>
      </c>
      <c r="G12" s="13" t="s">
        <v>185</v>
      </c>
    </row>
    <row r="13" spans="1:7">
      <c r="A13" s="13">
        <v>2022</v>
      </c>
      <c r="B13" s="13" t="s">
        <v>146</v>
      </c>
      <c r="C13" s="13">
        <v>5</v>
      </c>
      <c r="D13" s="13">
        <v>5</v>
      </c>
      <c r="E13" s="13">
        <v>0</v>
      </c>
      <c r="F13" s="13">
        <v>0</v>
      </c>
      <c r="G13" s="13" t="s">
        <v>185</v>
      </c>
    </row>
    <row r="14" spans="1:7">
      <c r="A14" s="13">
        <v>2023</v>
      </c>
      <c r="B14" s="13" t="s">
        <v>130</v>
      </c>
      <c r="C14" s="13">
        <v>8</v>
      </c>
      <c r="D14" s="13">
        <v>8</v>
      </c>
      <c r="E14" s="13">
        <v>0</v>
      </c>
      <c r="F14" s="13">
        <v>0</v>
      </c>
      <c r="G14" s="13" t="s">
        <v>185</v>
      </c>
    </row>
    <row r="15" spans="1:7">
      <c r="A15" s="13">
        <v>2023</v>
      </c>
      <c r="B15" s="13" t="s">
        <v>133</v>
      </c>
      <c r="C15" s="13">
        <v>30</v>
      </c>
      <c r="D15" s="13">
        <v>30</v>
      </c>
      <c r="E15" s="13">
        <v>0</v>
      </c>
      <c r="F15" s="13">
        <v>0</v>
      </c>
      <c r="G15" s="13" t="s">
        <v>185</v>
      </c>
    </row>
    <row r="16" spans="1:7">
      <c r="A16" s="13">
        <v>2023</v>
      </c>
      <c r="B16" s="13" t="s">
        <v>136</v>
      </c>
      <c r="C16" s="13">
        <v>8</v>
      </c>
      <c r="D16" s="13">
        <v>8</v>
      </c>
      <c r="E16" s="13">
        <v>0</v>
      </c>
      <c r="F16" s="13">
        <v>0</v>
      </c>
      <c r="G16" s="13" t="s">
        <v>185</v>
      </c>
    </row>
    <row r="17" spans="1:7">
      <c r="A17" s="13">
        <v>2023</v>
      </c>
      <c r="B17" s="13" t="s">
        <v>140</v>
      </c>
      <c r="C17" s="13">
        <v>5</v>
      </c>
      <c r="D17" s="13">
        <v>5</v>
      </c>
      <c r="E17" s="13">
        <v>0</v>
      </c>
      <c r="F17" s="13">
        <v>0</v>
      </c>
      <c r="G17" s="13" t="s">
        <v>185</v>
      </c>
    </row>
    <row r="18" spans="1:7">
      <c r="A18" s="13">
        <v>2023</v>
      </c>
      <c r="B18" s="13" t="s">
        <v>143</v>
      </c>
      <c r="C18" s="13">
        <v>15</v>
      </c>
      <c r="D18" s="13">
        <v>15</v>
      </c>
      <c r="E18" s="13">
        <v>0</v>
      </c>
      <c r="F18" s="13">
        <v>0</v>
      </c>
      <c r="G18" s="13" t="s">
        <v>185</v>
      </c>
    </row>
    <row r="19" spans="1:7">
      <c r="A19" s="13">
        <v>2023</v>
      </c>
      <c r="B19" s="13" t="s">
        <v>146</v>
      </c>
      <c r="C19" s="13">
        <v>5</v>
      </c>
      <c r="D19" s="13">
        <v>5</v>
      </c>
      <c r="E19" s="13">
        <v>0</v>
      </c>
      <c r="F19" s="13">
        <v>0</v>
      </c>
      <c r="G19" s="13" t="s">
        <v>185</v>
      </c>
    </row>
    <row r="20" spans="1:7">
      <c r="A20" s="13">
        <v>2024</v>
      </c>
      <c r="B20" s="13" t="s">
        <v>130</v>
      </c>
      <c r="C20" s="13">
        <v>9</v>
      </c>
      <c r="D20" s="13">
        <v>9</v>
      </c>
      <c r="E20" s="13">
        <v>0</v>
      </c>
      <c r="F20" s="13">
        <v>0</v>
      </c>
      <c r="G20" s="13" t="s">
        <v>185</v>
      </c>
    </row>
    <row r="21" spans="1:7">
      <c r="A21" s="13">
        <v>2024</v>
      </c>
      <c r="B21" s="13" t="s">
        <v>133</v>
      </c>
      <c r="C21" s="13">
        <v>37</v>
      </c>
      <c r="D21" s="13">
        <v>37</v>
      </c>
      <c r="E21" s="13">
        <v>0</v>
      </c>
      <c r="F21" s="13">
        <v>0</v>
      </c>
      <c r="G21" s="13" t="s">
        <v>185</v>
      </c>
    </row>
    <row r="22" spans="1:7">
      <c r="A22" s="13">
        <v>2024</v>
      </c>
      <c r="B22" s="13" t="s">
        <v>136</v>
      </c>
      <c r="C22" s="13">
        <v>13</v>
      </c>
      <c r="D22" s="13">
        <v>13</v>
      </c>
      <c r="E22" s="13">
        <v>0</v>
      </c>
      <c r="F22" s="13">
        <v>0</v>
      </c>
      <c r="G22" s="13" t="s">
        <v>185</v>
      </c>
    </row>
    <row r="23" spans="1:7">
      <c r="A23" s="13">
        <v>2024</v>
      </c>
      <c r="B23" s="13" t="s">
        <v>140</v>
      </c>
      <c r="C23" s="13">
        <v>7</v>
      </c>
      <c r="D23" s="13">
        <v>7</v>
      </c>
      <c r="E23" s="13">
        <v>0</v>
      </c>
      <c r="F23" s="13">
        <v>0</v>
      </c>
      <c r="G23" s="13" t="s">
        <v>185</v>
      </c>
    </row>
    <row r="24" spans="1:7">
      <c r="A24" s="13">
        <v>2024</v>
      </c>
      <c r="B24" s="13" t="s">
        <v>143</v>
      </c>
      <c r="C24" s="13">
        <v>17</v>
      </c>
      <c r="D24" s="13">
        <v>17</v>
      </c>
      <c r="E24" s="13">
        <v>0</v>
      </c>
      <c r="F24" s="13">
        <v>0</v>
      </c>
      <c r="G24" s="13" t="s">
        <v>185</v>
      </c>
    </row>
    <row r="25" spans="1:7">
      <c r="A25" s="13">
        <v>2024</v>
      </c>
      <c r="B25" s="13" t="s">
        <v>146</v>
      </c>
      <c r="C25" s="13">
        <v>5</v>
      </c>
      <c r="D25" s="13">
        <v>5</v>
      </c>
      <c r="E25" s="13">
        <v>0</v>
      </c>
      <c r="F25" s="13">
        <v>0</v>
      </c>
      <c r="G25" s="13" t="s">
        <v>185</v>
      </c>
    </row>
    <row r="26" spans="1:7">
      <c r="A26" s="13">
        <v>2025</v>
      </c>
      <c r="B26" s="13" t="s">
        <v>130</v>
      </c>
      <c r="C26" s="13">
        <v>9</v>
      </c>
      <c r="D26" s="13">
        <v>9</v>
      </c>
      <c r="E26" s="13">
        <v>0</v>
      </c>
      <c r="F26" s="13">
        <v>0</v>
      </c>
      <c r="G26" s="13" t="s">
        <v>185</v>
      </c>
    </row>
    <row r="27" spans="1:7">
      <c r="A27" s="13">
        <v>2025</v>
      </c>
      <c r="B27" s="13" t="s">
        <v>133</v>
      </c>
      <c r="C27" s="13">
        <v>29</v>
      </c>
      <c r="D27" s="13">
        <v>29</v>
      </c>
      <c r="E27" s="13">
        <v>1</v>
      </c>
      <c r="F27" s="13">
        <v>0</v>
      </c>
      <c r="G27" s="13" t="s">
        <v>185</v>
      </c>
    </row>
    <row r="28" spans="1:7">
      <c r="A28" s="13">
        <v>2025</v>
      </c>
      <c r="B28" s="13" t="s">
        <v>136</v>
      </c>
      <c r="C28" s="13">
        <v>9</v>
      </c>
      <c r="D28" s="13">
        <v>9</v>
      </c>
      <c r="E28" s="13">
        <v>0</v>
      </c>
      <c r="F28" s="13">
        <v>0</v>
      </c>
      <c r="G28" s="13" t="s">
        <v>185</v>
      </c>
    </row>
    <row r="29" spans="1:7">
      <c r="A29" s="13">
        <v>2025</v>
      </c>
      <c r="B29" s="13" t="s">
        <v>140</v>
      </c>
      <c r="C29" s="13">
        <v>6</v>
      </c>
      <c r="D29" s="13">
        <v>6</v>
      </c>
      <c r="E29" s="13">
        <v>0</v>
      </c>
      <c r="F29" s="13">
        <v>0</v>
      </c>
      <c r="G29" s="13" t="s">
        <v>185</v>
      </c>
    </row>
    <row r="30" spans="1:7">
      <c r="A30" s="13">
        <v>2025</v>
      </c>
      <c r="B30" s="13" t="s">
        <v>143</v>
      </c>
      <c r="C30" s="13">
        <v>9</v>
      </c>
      <c r="D30" s="13">
        <v>9</v>
      </c>
      <c r="E30" s="13">
        <v>1</v>
      </c>
      <c r="F30" s="13">
        <v>0</v>
      </c>
      <c r="G30" s="13" t="s">
        <v>185</v>
      </c>
    </row>
    <row r="31" spans="1:7">
      <c r="A31" s="13">
        <v>2026</v>
      </c>
      <c r="B31" s="13" t="s">
        <v>130</v>
      </c>
      <c r="C31" s="13">
        <v>10</v>
      </c>
      <c r="D31" s="13">
        <v>10</v>
      </c>
      <c r="E31" s="13">
        <v>1</v>
      </c>
      <c r="F31" s="13">
        <v>0</v>
      </c>
      <c r="G31" s="13" t="s">
        <v>188</v>
      </c>
    </row>
    <row r="32" spans="1:7">
      <c r="A32" s="13">
        <v>2026</v>
      </c>
      <c r="B32" s="13" t="s">
        <v>133</v>
      </c>
      <c r="C32" s="13">
        <v>31</v>
      </c>
      <c r="D32" s="13">
        <v>31</v>
      </c>
      <c r="E32" s="13">
        <v>2</v>
      </c>
      <c r="F32" s="13">
        <v>0</v>
      </c>
      <c r="G32" s="13" t="s">
        <v>188</v>
      </c>
    </row>
    <row r="33" spans="1:7">
      <c r="A33" s="13">
        <v>2026</v>
      </c>
      <c r="B33" s="13" t="s">
        <v>136</v>
      </c>
      <c r="C33" s="13">
        <v>9</v>
      </c>
      <c r="D33" s="13">
        <v>9</v>
      </c>
      <c r="E33" s="13">
        <v>0</v>
      </c>
      <c r="F33" s="13">
        <v>0</v>
      </c>
      <c r="G33" s="13" t="s">
        <v>188</v>
      </c>
    </row>
    <row r="34" spans="1:7">
      <c r="A34" s="13">
        <v>2026</v>
      </c>
      <c r="B34" s="13" t="s">
        <v>140</v>
      </c>
      <c r="C34" s="13">
        <v>6</v>
      </c>
      <c r="D34" s="13">
        <v>6</v>
      </c>
      <c r="E34" s="13">
        <v>0</v>
      </c>
      <c r="F34" s="13">
        <v>0</v>
      </c>
      <c r="G34" s="13" t="s">
        <v>188</v>
      </c>
    </row>
    <row r="35" spans="1:7">
      <c r="A35" s="13">
        <v>2026</v>
      </c>
      <c r="B35" s="13" t="s">
        <v>143</v>
      </c>
      <c r="C35" s="13">
        <v>10</v>
      </c>
      <c r="D35" s="13">
        <v>10</v>
      </c>
      <c r="E35" s="13">
        <v>1</v>
      </c>
      <c r="F35" s="13">
        <v>0</v>
      </c>
      <c r="G35" s="13" t="s">
        <v>188</v>
      </c>
    </row>
    <row r="36" spans="1:7">
      <c r="A36" s="13">
        <v>2026</v>
      </c>
      <c r="B36" s="13" t="s">
        <v>146</v>
      </c>
      <c r="C36" s="13">
        <v>5</v>
      </c>
      <c r="D36" s="13">
        <v>5</v>
      </c>
      <c r="E36" s="13">
        <v>0</v>
      </c>
      <c r="F36" s="13">
        <v>0</v>
      </c>
      <c r="G36" s="13" t="s">
        <v>188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7"/>
  <sheetViews>
    <sheetView workbookViewId="0">
      <selection activeCell="G2" sqref="G2"/>
    </sheetView>
  </sheetViews>
  <sheetFormatPr defaultRowHeight="14.25"/>
  <cols>
    <col min="1" max="9" width="18" customWidth="1"/>
    <col min="10" max="10" width="30" customWidth="1"/>
  </cols>
  <sheetData>
    <row r="1" spans="1:10" ht="30">
      <c r="A1" s="10" t="s">
        <v>172</v>
      </c>
      <c r="B1" s="10" t="s">
        <v>125</v>
      </c>
      <c r="C1" s="11" t="s">
        <v>193</v>
      </c>
      <c r="D1" s="11" t="s">
        <v>194</v>
      </c>
      <c r="E1" s="11" t="s">
        <v>195</v>
      </c>
      <c r="F1" s="11" t="s">
        <v>196</v>
      </c>
      <c r="G1" s="11" t="s">
        <v>197</v>
      </c>
      <c r="H1" s="11" t="s">
        <v>198</v>
      </c>
      <c r="I1" s="10" t="s">
        <v>199</v>
      </c>
      <c r="J1" s="10" t="s">
        <v>129</v>
      </c>
    </row>
    <row r="2" spans="1:10">
      <c r="A2" s="13">
        <v>2021</v>
      </c>
      <c r="B2" s="13" t="s">
        <v>130</v>
      </c>
      <c r="C2" s="13">
        <v>540023600</v>
      </c>
      <c r="D2" s="13">
        <v>26342615</v>
      </c>
      <c r="E2" s="13">
        <v>39513922</v>
      </c>
      <c r="F2" s="13">
        <v>32928268</v>
      </c>
      <c r="G2" s="13">
        <v>19756961</v>
      </c>
      <c r="H2" s="13">
        <v>658565366</v>
      </c>
      <c r="I2" s="13" t="s">
        <v>200</v>
      </c>
      <c r="J2" s="13" t="s">
        <v>185</v>
      </c>
    </row>
    <row r="3" spans="1:10">
      <c r="A3" s="13">
        <v>2021</v>
      </c>
      <c r="B3" s="13" t="s">
        <v>133</v>
      </c>
      <c r="C3" s="13">
        <v>1282480000</v>
      </c>
      <c r="D3" s="13">
        <v>62560000</v>
      </c>
      <c r="E3" s="13">
        <v>93840000</v>
      </c>
      <c r="F3" s="13">
        <v>78200000</v>
      </c>
      <c r="G3" s="13">
        <v>46920000</v>
      </c>
      <c r="H3" s="13">
        <v>1564000000</v>
      </c>
      <c r="I3" s="13" t="s">
        <v>200</v>
      </c>
      <c r="J3" s="13" t="s">
        <v>185</v>
      </c>
    </row>
    <row r="4" spans="1:10">
      <c r="A4" s="13">
        <v>2021</v>
      </c>
      <c r="B4" s="13" t="s">
        <v>136</v>
      </c>
      <c r="C4" s="13">
        <v>283884130</v>
      </c>
      <c r="D4" s="13">
        <v>13848006</v>
      </c>
      <c r="E4" s="13">
        <v>20772009</v>
      </c>
      <c r="F4" s="13">
        <v>17310008</v>
      </c>
      <c r="G4" s="13">
        <v>10386005</v>
      </c>
      <c r="H4" s="13">
        <v>346200158</v>
      </c>
      <c r="I4" s="13" t="s">
        <v>200</v>
      </c>
      <c r="J4" s="13" t="s">
        <v>185</v>
      </c>
    </row>
    <row r="5" spans="1:10">
      <c r="A5" s="13">
        <v>2021</v>
      </c>
      <c r="B5" s="13" t="s">
        <v>140</v>
      </c>
      <c r="C5" s="13">
        <v>228547260</v>
      </c>
      <c r="D5" s="13">
        <v>11148647</v>
      </c>
      <c r="E5" s="13">
        <v>16722970</v>
      </c>
      <c r="F5" s="13">
        <v>13935809</v>
      </c>
      <c r="G5" s="13">
        <v>8361485</v>
      </c>
      <c r="H5" s="13">
        <v>278716171</v>
      </c>
      <c r="I5" s="13" t="s">
        <v>200</v>
      </c>
      <c r="J5" s="13" t="s">
        <v>185</v>
      </c>
    </row>
    <row r="6" spans="1:10">
      <c r="A6" s="13">
        <v>2021</v>
      </c>
      <c r="B6" s="13" t="s">
        <v>143</v>
      </c>
      <c r="C6" s="13">
        <v>554135015</v>
      </c>
      <c r="D6" s="13">
        <v>27030976</v>
      </c>
      <c r="E6" s="13">
        <v>40546464</v>
      </c>
      <c r="F6" s="13">
        <v>33788720</v>
      </c>
      <c r="G6" s="13">
        <v>20273233</v>
      </c>
      <c r="H6" s="13">
        <v>675774408</v>
      </c>
      <c r="I6" s="13" t="s">
        <v>200</v>
      </c>
      <c r="J6" s="13" t="s">
        <v>185</v>
      </c>
    </row>
    <row r="7" spans="1:10">
      <c r="A7" s="13">
        <v>2021</v>
      </c>
      <c r="B7" s="13" t="s">
        <v>146</v>
      </c>
      <c r="C7" s="13">
        <v>308328772</v>
      </c>
      <c r="D7" s="13">
        <v>15040428</v>
      </c>
      <c r="E7" s="13">
        <v>22560642</v>
      </c>
      <c r="F7" s="13">
        <v>18800535</v>
      </c>
      <c r="G7" s="13">
        <v>11280321</v>
      </c>
      <c r="H7" s="13">
        <v>376010698</v>
      </c>
      <c r="I7" s="13" t="s">
        <v>200</v>
      </c>
      <c r="J7" s="13" t="s">
        <v>185</v>
      </c>
    </row>
    <row r="8" spans="1:10">
      <c r="A8" s="13">
        <v>2022</v>
      </c>
      <c r="B8" s="13" t="s">
        <v>130</v>
      </c>
      <c r="C8" s="13">
        <v>557633066</v>
      </c>
      <c r="D8" s="13">
        <v>27201613</v>
      </c>
      <c r="E8" s="13">
        <v>40802419</v>
      </c>
      <c r="F8" s="13">
        <v>34002016</v>
      </c>
      <c r="G8" s="13">
        <v>20401210</v>
      </c>
      <c r="H8" s="13">
        <v>680040324</v>
      </c>
      <c r="I8" s="13" t="s">
        <v>200</v>
      </c>
      <c r="J8" s="13" t="s">
        <v>185</v>
      </c>
    </row>
    <row r="9" spans="1:10">
      <c r="A9" s="13">
        <v>2022</v>
      </c>
      <c r="B9" s="13" t="s">
        <v>133</v>
      </c>
      <c r="C9" s="13">
        <v>1324300000</v>
      </c>
      <c r="D9" s="13">
        <v>64600000</v>
      </c>
      <c r="E9" s="13">
        <v>96900000</v>
      </c>
      <c r="F9" s="13">
        <v>80750000</v>
      </c>
      <c r="G9" s="13">
        <v>48450000</v>
      </c>
      <c r="H9" s="13">
        <v>1615000000</v>
      </c>
      <c r="I9" s="13" t="s">
        <v>200</v>
      </c>
      <c r="J9" s="13" t="s">
        <v>185</v>
      </c>
    </row>
    <row r="10" spans="1:10">
      <c r="A10" s="13">
        <v>2022</v>
      </c>
      <c r="B10" s="13" t="s">
        <v>136</v>
      </c>
      <c r="C10" s="13">
        <v>293141221</v>
      </c>
      <c r="D10" s="13">
        <v>14299572</v>
      </c>
      <c r="E10" s="13">
        <v>21449358</v>
      </c>
      <c r="F10" s="13">
        <v>17874465</v>
      </c>
      <c r="G10" s="13">
        <v>10724678</v>
      </c>
      <c r="H10" s="13">
        <v>357489294</v>
      </c>
      <c r="I10" s="13" t="s">
        <v>200</v>
      </c>
      <c r="J10" s="13" t="s">
        <v>185</v>
      </c>
    </row>
    <row r="11" spans="1:10">
      <c r="A11" s="13">
        <v>2022</v>
      </c>
      <c r="B11" s="13" t="s">
        <v>140</v>
      </c>
      <c r="C11" s="13">
        <v>235999888</v>
      </c>
      <c r="D11" s="13">
        <v>11512190</v>
      </c>
      <c r="E11" s="13">
        <v>17268285</v>
      </c>
      <c r="F11" s="13">
        <v>14390237</v>
      </c>
      <c r="G11" s="13">
        <v>8634142</v>
      </c>
      <c r="H11" s="13">
        <v>287804742</v>
      </c>
      <c r="I11" s="13" t="s">
        <v>200</v>
      </c>
      <c r="J11" s="13" t="s">
        <v>185</v>
      </c>
    </row>
    <row r="12" spans="1:10">
      <c r="A12" s="13">
        <v>2022</v>
      </c>
      <c r="B12" s="13" t="s">
        <v>143</v>
      </c>
      <c r="C12" s="13">
        <v>572204635</v>
      </c>
      <c r="D12" s="13">
        <v>27912421</v>
      </c>
      <c r="E12" s="13">
        <v>41868632</v>
      </c>
      <c r="F12" s="13">
        <v>34890526</v>
      </c>
      <c r="G12" s="13">
        <v>20934316</v>
      </c>
      <c r="H12" s="13">
        <v>697810530</v>
      </c>
      <c r="I12" s="13" t="s">
        <v>200</v>
      </c>
      <c r="J12" s="13" t="s">
        <v>185</v>
      </c>
    </row>
    <row r="13" spans="1:10">
      <c r="A13" s="13">
        <v>2022</v>
      </c>
      <c r="B13" s="13" t="s">
        <v>146</v>
      </c>
      <c r="C13" s="13">
        <v>318382971</v>
      </c>
      <c r="D13" s="13">
        <v>15530877</v>
      </c>
      <c r="E13" s="13">
        <v>23296315</v>
      </c>
      <c r="F13" s="13">
        <v>19413596</v>
      </c>
      <c r="G13" s="13">
        <v>11648157</v>
      </c>
      <c r="H13" s="13">
        <v>388271916</v>
      </c>
      <c r="I13" s="13" t="s">
        <v>200</v>
      </c>
      <c r="J13" s="13" t="s">
        <v>185</v>
      </c>
    </row>
    <row r="14" spans="1:10">
      <c r="A14" s="13">
        <v>2023</v>
      </c>
      <c r="B14" s="13" t="s">
        <v>130</v>
      </c>
      <c r="C14" s="13">
        <v>586982174</v>
      </c>
      <c r="D14" s="13">
        <v>28633277</v>
      </c>
      <c r="E14" s="13">
        <v>42949915</v>
      </c>
      <c r="F14" s="13">
        <v>35791596</v>
      </c>
      <c r="G14" s="13">
        <v>21474958</v>
      </c>
      <c r="H14" s="13">
        <v>715831920</v>
      </c>
      <c r="I14" s="13" t="s">
        <v>200</v>
      </c>
      <c r="J14" s="13" t="s">
        <v>185</v>
      </c>
    </row>
    <row r="15" spans="1:10">
      <c r="A15" s="13">
        <v>2023</v>
      </c>
      <c r="B15" s="13" t="s">
        <v>133</v>
      </c>
      <c r="C15" s="13">
        <v>1394000000</v>
      </c>
      <c r="D15" s="13">
        <v>68000000</v>
      </c>
      <c r="E15" s="13">
        <v>102000000</v>
      </c>
      <c r="F15" s="13">
        <v>85000000</v>
      </c>
      <c r="G15" s="13">
        <v>51000000</v>
      </c>
      <c r="H15" s="13">
        <v>1700000000</v>
      </c>
      <c r="I15" s="13" t="s">
        <v>200</v>
      </c>
      <c r="J15" s="13" t="s">
        <v>185</v>
      </c>
    </row>
    <row r="16" spans="1:10">
      <c r="A16" s="13">
        <v>2023</v>
      </c>
      <c r="B16" s="13" t="s">
        <v>136</v>
      </c>
      <c r="C16" s="13">
        <v>308569706</v>
      </c>
      <c r="D16" s="13">
        <v>15052181</v>
      </c>
      <c r="E16" s="13">
        <v>22578271</v>
      </c>
      <c r="F16" s="13">
        <v>18815226</v>
      </c>
      <c r="G16" s="13">
        <v>11289136</v>
      </c>
      <c r="H16" s="13">
        <v>376304520</v>
      </c>
      <c r="I16" s="13" t="s">
        <v>200</v>
      </c>
      <c r="J16" s="13" t="s">
        <v>185</v>
      </c>
    </row>
    <row r="17" spans="1:10">
      <c r="A17" s="13">
        <v>2023</v>
      </c>
      <c r="B17" s="13" t="s">
        <v>140</v>
      </c>
      <c r="C17" s="13">
        <v>248420935</v>
      </c>
      <c r="D17" s="13">
        <v>12118094</v>
      </c>
      <c r="E17" s="13">
        <v>18177142</v>
      </c>
      <c r="F17" s="13">
        <v>15147618</v>
      </c>
      <c r="G17" s="13">
        <v>9088571</v>
      </c>
      <c r="H17" s="13">
        <v>302952360</v>
      </c>
      <c r="I17" s="13" t="s">
        <v>200</v>
      </c>
      <c r="J17" s="13" t="s">
        <v>185</v>
      </c>
    </row>
    <row r="18" spans="1:10">
      <c r="A18" s="13">
        <v>2023</v>
      </c>
      <c r="B18" s="13" t="s">
        <v>143</v>
      </c>
      <c r="C18" s="13">
        <v>602320668</v>
      </c>
      <c r="D18" s="13">
        <v>29381496</v>
      </c>
      <c r="E18" s="13">
        <v>44072244</v>
      </c>
      <c r="F18" s="13">
        <v>36726870</v>
      </c>
      <c r="G18" s="13">
        <v>22036122</v>
      </c>
      <c r="H18" s="13">
        <v>734537400</v>
      </c>
      <c r="I18" s="13" t="s">
        <v>200</v>
      </c>
      <c r="J18" s="13" t="s">
        <v>185</v>
      </c>
    </row>
    <row r="19" spans="1:10">
      <c r="A19" s="13">
        <v>2023</v>
      </c>
      <c r="B19" s="13" t="s">
        <v>146</v>
      </c>
      <c r="C19" s="13">
        <v>335139970</v>
      </c>
      <c r="D19" s="13">
        <v>16348291</v>
      </c>
      <c r="E19" s="13">
        <v>24522437</v>
      </c>
      <c r="F19" s="13">
        <v>20435364</v>
      </c>
      <c r="G19" s="13">
        <v>12261218</v>
      </c>
      <c r="H19" s="13">
        <v>408707280</v>
      </c>
      <c r="I19" s="13" t="s">
        <v>200</v>
      </c>
      <c r="J19" s="13" t="s">
        <v>185</v>
      </c>
    </row>
    <row r="20" spans="1:10">
      <c r="A20" s="13">
        <v>2024</v>
      </c>
      <c r="B20" s="13" t="s">
        <v>130</v>
      </c>
      <c r="C20" s="13">
        <v>628070926</v>
      </c>
      <c r="D20" s="13">
        <v>30637606</v>
      </c>
      <c r="E20" s="13">
        <v>45956409</v>
      </c>
      <c r="F20" s="13">
        <v>38297008</v>
      </c>
      <c r="G20" s="13">
        <v>22978205</v>
      </c>
      <c r="H20" s="13">
        <v>765940154</v>
      </c>
      <c r="I20" s="13" t="s">
        <v>200</v>
      </c>
      <c r="J20" s="13" t="s">
        <v>185</v>
      </c>
    </row>
    <row r="21" spans="1:10">
      <c r="A21" s="13">
        <v>2024</v>
      </c>
      <c r="B21" s="13" t="s">
        <v>133</v>
      </c>
      <c r="C21" s="13">
        <v>1491580000</v>
      </c>
      <c r="D21" s="13">
        <v>72760000</v>
      </c>
      <c r="E21" s="13">
        <v>109140000</v>
      </c>
      <c r="F21" s="13">
        <v>90950000</v>
      </c>
      <c r="G21" s="13">
        <v>54570000</v>
      </c>
      <c r="H21" s="13">
        <v>1819000000</v>
      </c>
      <c r="I21" s="13" t="s">
        <v>200</v>
      </c>
      <c r="J21" s="13" t="s">
        <v>185</v>
      </c>
    </row>
    <row r="22" spans="1:10">
      <c r="A22" s="13">
        <v>2024</v>
      </c>
      <c r="B22" s="13" t="s">
        <v>136</v>
      </c>
      <c r="C22" s="13">
        <v>330169586</v>
      </c>
      <c r="D22" s="13">
        <v>16105833</v>
      </c>
      <c r="E22" s="13">
        <v>24158750</v>
      </c>
      <c r="F22" s="13">
        <v>20132292</v>
      </c>
      <c r="G22" s="13">
        <v>12079375</v>
      </c>
      <c r="H22" s="13">
        <v>402645836</v>
      </c>
      <c r="I22" s="13" t="s">
        <v>200</v>
      </c>
      <c r="J22" s="13" t="s">
        <v>185</v>
      </c>
    </row>
    <row r="23" spans="1:10">
      <c r="A23" s="13">
        <v>2024</v>
      </c>
      <c r="B23" s="13" t="s">
        <v>140</v>
      </c>
      <c r="C23" s="13">
        <v>265810400</v>
      </c>
      <c r="D23" s="13">
        <v>12966361</v>
      </c>
      <c r="E23" s="13">
        <v>19449542</v>
      </c>
      <c r="F23" s="13">
        <v>16207951</v>
      </c>
      <c r="G23" s="13">
        <v>9724771</v>
      </c>
      <c r="H23" s="13">
        <v>324159025</v>
      </c>
      <c r="I23" s="13" t="s">
        <v>200</v>
      </c>
      <c r="J23" s="13" t="s">
        <v>185</v>
      </c>
    </row>
    <row r="24" spans="1:10">
      <c r="A24" s="13">
        <v>2024</v>
      </c>
      <c r="B24" s="13" t="s">
        <v>143</v>
      </c>
      <c r="C24" s="13">
        <v>644483115</v>
      </c>
      <c r="D24" s="13">
        <v>31438201</v>
      </c>
      <c r="E24" s="13">
        <v>47157301</v>
      </c>
      <c r="F24" s="13">
        <v>39297751</v>
      </c>
      <c r="G24" s="13">
        <v>23578650</v>
      </c>
      <c r="H24" s="13">
        <v>785955018</v>
      </c>
      <c r="I24" s="13" t="s">
        <v>200</v>
      </c>
      <c r="J24" s="13" t="s">
        <v>185</v>
      </c>
    </row>
    <row r="25" spans="1:10">
      <c r="A25" s="13">
        <v>2024</v>
      </c>
      <c r="B25" s="13" t="s">
        <v>146</v>
      </c>
      <c r="C25" s="13">
        <v>358599768</v>
      </c>
      <c r="D25" s="13">
        <v>17492672</v>
      </c>
      <c r="E25" s="13">
        <v>26239007</v>
      </c>
      <c r="F25" s="13">
        <v>21865840</v>
      </c>
      <c r="G25" s="13">
        <v>13119503</v>
      </c>
      <c r="H25" s="13">
        <v>437316790</v>
      </c>
      <c r="I25" s="13" t="s">
        <v>200</v>
      </c>
      <c r="J25" s="13" t="s">
        <v>185</v>
      </c>
    </row>
    <row r="26" spans="1:10">
      <c r="A26" s="13">
        <v>2025</v>
      </c>
      <c r="B26" s="13" t="s">
        <v>130</v>
      </c>
      <c r="C26" s="13">
        <v>586982174</v>
      </c>
      <c r="D26" s="13">
        <v>28633277</v>
      </c>
      <c r="E26" s="13">
        <v>42949915</v>
      </c>
      <c r="F26" s="13">
        <v>35791596</v>
      </c>
      <c r="G26" s="13">
        <v>21474958</v>
      </c>
      <c r="H26" s="13">
        <v>715831920</v>
      </c>
      <c r="I26" s="13" t="s">
        <v>200</v>
      </c>
      <c r="J26" s="13" t="s">
        <v>185</v>
      </c>
    </row>
    <row r="27" spans="1:10">
      <c r="A27" s="13">
        <v>2025</v>
      </c>
      <c r="B27" s="13" t="s">
        <v>133</v>
      </c>
      <c r="C27" s="13">
        <v>1394000000</v>
      </c>
      <c r="D27" s="13">
        <v>68000000</v>
      </c>
      <c r="E27" s="13">
        <v>102000000</v>
      </c>
      <c r="F27" s="13">
        <v>85000000</v>
      </c>
      <c r="G27" s="13">
        <v>51000000</v>
      </c>
      <c r="H27" s="13">
        <v>1700000000</v>
      </c>
      <c r="I27" s="13" t="s">
        <v>200</v>
      </c>
      <c r="J27" s="13" t="s">
        <v>185</v>
      </c>
    </row>
    <row r="28" spans="1:10">
      <c r="A28" s="13">
        <v>2025</v>
      </c>
      <c r="B28" s="13" t="s">
        <v>136</v>
      </c>
      <c r="C28" s="13">
        <v>308569706</v>
      </c>
      <c r="D28" s="13">
        <v>15052181</v>
      </c>
      <c r="E28" s="13">
        <v>22578271</v>
      </c>
      <c r="F28" s="13">
        <v>18815226</v>
      </c>
      <c r="G28" s="13">
        <v>11289136</v>
      </c>
      <c r="H28" s="13">
        <v>376304520</v>
      </c>
      <c r="I28" s="13" t="s">
        <v>200</v>
      </c>
      <c r="J28" s="13" t="s">
        <v>185</v>
      </c>
    </row>
    <row r="29" spans="1:10">
      <c r="A29" s="13">
        <v>2025</v>
      </c>
      <c r="B29" s="13" t="s">
        <v>140</v>
      </c>
      <c r="C29" s="13">
        <v>248420935</v>
      </c>
      <c r="D29" s="13">
        <v>12118094</v>
      </c>
      <c r="E29" s="13">
        <v>18177142</v>
      </c>
      <c r="F29" s="13">
        <v>15147618</v>
      </c>
      <c r="G29" s="13">
        <v>9088571</v>
      </c>
      <c r="H29" s="13">
        <v>302952360</v>
      </c>
      <c r="I29" s="13" t="s">
        <v>200</v>
      </c>
      <c r="J29" s="13" t="s">
        <v>185</v>
      </c>
    </row>
    <row r="30" spans="1:10">
      <c r="A30" s="13">
        <v>2025</v>
      </c>
      <c r="B30" s="13" t="s">
        <v>143</v>
      </c>
      <c r="C30" s="13">
        <v>602320668</v>
      </c>
      <c r="D30" s="13">
        <v>29381496</v>
      </c>
      <c r="E30" s="13">
        <v>44072244</v>
      </c>
      <c r="F30" s="13">
        <v>36726870</v>
      </c>
      <c r="G30" s="13">
        <v>22036122</v>
      </c>
      <c r="H30" s="13">
        <v>734537400</v>
      </c>
      <c r="I30" s="13" t="s">
        <v>200</v>
      </c>
      <c r="J30" s="13" t="s">
        <v>185</v>
      </c>
    </row>
    <row r="31" spans="1:10">
      <c r="A31" s="13">
        <v>2025</v>
      </c>
      <c r="B31" s="13" t="s">
        <v>146</v>
      </c>
      <c r="C31" s="13">
        <v>335139970</v>
      </c>
      <c r="D31" s="13">
        <v>16348291</v>
      </c>
      <c r="E31" s="13">
        <v>24522437</v>
      </c>
      <c r="F31" s="13">
        <v>20435364</v>
      </c>
      <c r="G31" s="13">
        <v>12261218</v>
      </c>
      <c r="H31" s="13">
        <v>408707280</v>
      </c>
      <c r="I31" s="13" t="s">
        <v>200</v>
      </c>
      <c r="J31" s="13" t="s">
        <v>185</v>
      </c>
    </row>
    <row r="32" spans="1:10">
      <c r="A32" s="13">
        <v>2026</v>
      </c>
      <c r="B32" s="13" t="s">
        <v>130</v>
      </c>
      <c r="C32" s="13">
        <v>633940749</v>
      </c>
      <c r="D32" s="13">
        <v>30923939</v>
      </c>
      <c r="E32" s="13">
        <v>46385908</v>
      </c>
      <c r="F32" s="13">
        <v>38654924</v>
      </c>
      <c r="G32" s="13">
        <v>23192954</v>
      </c>
      <c r="H32" s="13">
        <v>773098474</v>
      </c>
      <c r="I32" s="13" t="s">
        <v>200</v>
      </c>
      <c r="J32" s="13" t="s">
        <v>188</v>
      </c>
    </row>
    <row r="33" spans="1:10">
      <c r="A33" s="13">
        <v>2026</v>
      </c>
      <c r="B33" s="13" t="s">
        <v>133</v>
      </c>
      <c r="C33" s="13">
        <v>1505520000</v>
      </c>
      <c r="D33" s="13">
        <v>73440000</v>
      </c>
      <c r="E33" s="13">
        <v>110160000</v>
      </c>
      <c r="F33" s="13">
        <v>91800000</v>
      </c>
      <c r="G33" s="13">
        <v>55080000</v>
      </c>
      <c r="H33" s="13">
        <v>1836000000</v>
      </c>
      <c r="I33" s="13" t="s">
        <v>200</v>
      </c>
      <c r="J33" s="13" t="s">
        <v>188</v>
      </c>
    </row>
    <row r="34" spans="1:10">
      <c r="A34" s="13">
        <v>2026</v>
      </c>
      <c r="B34" s="13" t="s">
        <v>136</v>
      </c>
      <c r="C34" s="13">
        <v>333255283</v>
      </c>
      <c r="D34" s="13">
        <v>16256355</v>
      </c>
      <c r="E34" s="13">
        <v>24384533</v>
      </c>
      <c r="F34" s="13">
        <v>20320444</v>
      </c>
      <c r="G34" s="13">
        <v>12192267</v>
      </c>
      <c r="H34" s="13">
        <v>406408882</v>
      </c>
      <c r="I34" s="13" t="s">
        <v>200</v>
      </c>
      <c r="J34" s="13" t="s">
        <v>188</v>
      </c>
    </row>
    <row r="35" spans="1:10">
      <c r="A35" s="13">
        <v>2026</v>
      </c>
      <c r="B35" s="13" t="s">
        <v>140</v>
      </c>
      <c r="C35" s="13">
        <v>268294610</v>
      </c>
      <c r="D35" s="13">
        <v>13087542</v>
      </c>
      <c r="E35" s="13">
        <v>19631313</v>
      </c>
      <c r="F35" s="13">
        <v>16359427</v>
      </c>
      <c r="G35" s="13">
        <v>9815657</v>
      </c>
      <c r="H35" s="13">
        <v>327188549</v>
      </c>
      <c r="I35" s="13" t="s">
        <v>200</v>
      </c>
      <c r="J35" s="13" t="s">
        <v>188</v>
      </c>
    </row>
    <row r="36" spans="1:10">
      <c r="A36" s="13">
        <v>2026</v>
      </c>
      <c r="B36" s="13" t="s">
        <v>143</v>
      </c>
      <c r="C36" s="13">
        <v>650506321</v>
      </c>
      <c r="D36" s="13">
        <v>31732016</v>
      </c>
      <c r="E36" s="13">
        <v>47598024</v>
      </c>
      <c r="F36" s="13">
        <v>39665020</v>
      </c>
      <c r="G36" s="13">
        <v>23799011</v>
      </c>
      <c r="H36" s="13">
        <v>793300392</v>
      </c>
      <c r="I36" s="13" t="s">
        <v>200</v>
      </c>
      <c r="J36" s="13" t="s">
        <v>188</v>
      </c>
    </row>
    <row r="37" spans="1:10">
      <c r="A37" s="13">
        <v>2026</v>
      </c>
      <c r="B37" s="13" t="s">
        <v>146</v>
      </c>
      <c r="C37" s="13">
        <v>361951167</v>
      </c>
      <c r="D37" s="13">
        <v>17656154</v>
      </c>
      <c r="E37" s="13">
        <v>26484232</v>
      </c>
      <c r="F37" s="13">
        <v>22070193</v>
      </c>
      <c r="G37" s="13">
        <v>13242116</v>
      </c>
      <c r="H37" s="13">
        <v>441403862</v>
      </c>
      <c r="I37" s="13" t="s">
        <v>200</v>
      </c>
      <c r="J37" s="13" t="s">
        <v>188</v>
      </c>
    </row>
  </sheetData>
  <dataValidations count="1">
    <dataValidation type="list" sqref="I2:I500" xr:uid="{00000000-0002-0000-0900-000000000000}">
      <formula1>"Payroll,Freelance,Contract,Outsource,Consultant"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workbookViewId="0"/>
  </sheetViews>
  <sheetFormatPr defaultRowHeight="14.25"/>
  <cols>
    <col min="1" max="7" width="20" customWidth="1"/>
  </cols>
  <sheetData>
    <row r="1" spans="1:7" ht="30">
      <c r="A1" s="10" t="s">
        <v>172</v>
      </c>
      <c r="B1" s="10" t="s">
        <v>125</v>
      </c>
      <c r="C1" s="10" t="s">
        <v>201</v>
      </c>
      <c r="D1" s="10" t="s">
        <v>202</v>
      </c>
      <c r="E1" s="10" t="s">
        <v>203</v>
      </c>
      <c r="F1" s="10" t="s">
        <v>204</v>
      </c>
      <c r="G1" s="10" t="s">
        <v>129</v>
      </c>
    </row>
    <row r="2" spans="1:7">
      <c r="A2" s="13">
        <v>2021</v>
      </c>
      <c r="B2" s="13" t="s">
        <v>130</v>
      </c>
      <c r="C2" s="13">
        <v>0</v>
      </c>
      <c r="D2" s="13">
        <v>0</v>
      </c>
      <c r="E2" s="13">
        <v>0</v>
      </c>
      <c r="F2" s="13">
        <v>0</v>
      </c>
      <c r="G2" s="13" t="s">
        <v>185</v>
      </c>
    </row>
    <row r="3" spans="1:7">
      <c r="A3" s="13">
        <v>2021</v>
      </c>
      <c r="B3" s="13" t="s">
        <v>133</v>
      </c>
      <c r="C3" s="13">
        <v>0</v>
      </c>
      <c r="D3" s="13">
        <v>0</v>
      </c>
      <c r="E3" s="13">
        <v>0</v>
      </c>
      <c r="F3" s="13">
        <v>0</v>
      </c>
      <c r="G3" s="13" t="s">
        <v>185</v>
      </c>
    </row>
    <row r="4" spans="1:7">
      <c r="A4" s="13">
        <v>2021</v>
      </c>
      <c r="B4" s="13" t="s">
        <v>136</v>
      </c>
      <c r="C4" s="13">
        <v>0</v>
      </c>
      <c r="D4" s="13">
        <v>0</v>
      </c>
      <c r="E4" s="13">
        <v>0</v>
      </c>
      <c r="F4" s="13">
        <v>0</v>
      </c>
      <c r="G4" s="13" t="s">
        <v>185</v>
      </c>
    </row>
    <row r="5" spans="1:7">
      <c r="A5" s="13">
        <v>2021</v>
      </c>
      <c r="B5" s="13" t="s">
        <v>140</v>
      </c>
      <c r="C5" s="13">
        <v>0</v>
      </c>
      <c r="D5" s="13">
        <v>0</v>
      </c>
      <c r="E5" s="13">
        <v>0</v>
      </c>
      <c r="F5" s="13">
        <v>0</v>
      </c>
      <c r="G5" s="13" t="s">
        <v>185</v>
      </c>
    </row>
    <row r="6" spans="1:7">
      <c r="A6" s="13">
        <v>2021</v>
      </c>
      <c r="B6" s="13" t="s">
        <v>143</v>
      </c>
      <c r="C6" s="13">
        <v>0</v>
      </c>
      <c r="D6" s="13">
        <v>0</v>
      </c>
      <c r="E6" s="13">
        <v>0</v>
      </c>
      <c r="F6" s="13">
        <v>0</v>
      </c>
      <c r="G6" s="13" t="s">
        <v>185</v>
      </c>
    </row>
    <row r="7" spans="1:7">
      <c r="A7" s="13">
        <v>2021</v>
      </c>
      <c r="B7" s="13" t="s">
        <v>146</v>
      </c>
      <c r="C7" s="13">
        <v>0</v>
      </c>
      <c r="D7" s="13">
        <v>0</v>
      </c>
      <c r="E7" s="13">
        <v>0</v>
      </c>
      <c r="F7" s="13">
        <v>0</v>
      </c>
      <c r="G7" s="13" t="s">
        <v>185</v>
      </c>
    </row>
    <row r="8" spans="1:7">
      <c r="A8" s="13">
        <v>2022</v>
      </c>
      <c r="B8" s="13" t="s">
        <v>130</v>
      </c>
      <c r="C8" s="13">
        <v>0</v>
      </c>
      <c r="D8" s="13">
        <v>0</v>
      </c>
      <c r="E8" s="13">
        <v>0</v>
      </c>
      <c r="F8" s="13">
        <v>0</v>
      </c>
      <c r="G8" s="13" t="s">
        <v>185</v>
      </c>
    </row>
    <row r="9" spans="1:7">
      <c r="A9" s="13">
        <v>2022</v>
      </c>
      <c r="B9" s="13" t="s">
        <v>133</v>
      </c>
      <c r="C9" s="13">
        <v>0</v>
      </c>
      <c r="D9" s="13">
        <v>0</v>
      </c>
      <c r="E9" s="13">
        <v>0</v>
      </c>
      <c r="F9" s="13">
        <v>0</v>
      </c>
      <c r="G9" s="13" t="s">
        <v>185</v>
      </c>
    </row>
    <row r="10" spans="1:7">
      <c r="A10" s="13">
        <v>2022</v>
      </c>
      <c r="B10" s="13" t="s">
        <v>136</v>
      </c>
      <c r="C10" s="13">
        <v>0</v>
      </c>
      <c r="D10" s="13">
        <v>0</v>
      </c>
      <c r="E10" s="13">
        <v>0</v>
      </c>
      <c r="F10" s="13">
        <v>0</v>
      </c>
      <c r="G10" s="13" t="s">
        <v>185</v>
      </c>
    </row>
    <row r="11" spans="1:7">
      <c r="A11" s="13">
        <v>2022</v>
      </c>
      <c r="B11" s="13" t="s">
        <v>140</v>
      </c>
      <c r="C11" s="13">
        <v>0</v>
      </c>
      <c r="D11" s="13">
        <v>0</v>
      </c>
      <c r="E11" s="13">
        <v>0</v>
      </c>
      <c r="F11" s="13">
        <v>0</v>
      </c>
      <c r="G11" s="13" t="s">
        <v>185</v>
      </c>
    </row>
    <row r="12" spans="1:7">
      <c r="A12" s="13">
        <v>2022</v>
      </c>
      <c r="B12" s="13" t="s">
        <v>143</v>
      </c>
      <c r="C12" s="13">
        <v>0</v>
      </c>
      <c r="D12" s="13">
        <v>0</v>
      </c>
      <c r="E12" s="13">
        <v>0</v>
      </c>
      <c r="F12" s="13">
        <v>0</v>
      </c>
      <c r="G12" s="13" t="s">
        <v>185</v>
      </c>
    </row>
    <row r="13" spans="1:7">
      <c r="A13" s="13">
        <v>2022</v>
      </c>
      <c r="B13" s="13" t="s">
        <v>146</v>
      </c>
      <c r="C13" s="13">
        <v>0</v>
      </c>
      <c r="D13" s="13">
        <v>0</v>
      </c>
      <c r="E13" s="13">
        <v>0</v>
      </c>
      <c r="F13" s="13">
        <v>0</v>
      </c>
      <c r="G13" s="13" t="s">
        <v>185</v>
      </c>
    </row>
    <row r="14" spans="1:7">
      <c r="A14" s="13">
        <v>2023</v>
      </c>
      <c r="B14" s="13" t="s">
        <v>130</v>
      </c>
      <c r="C14" s="13">
        <v>0</v>
      </c>
      <c r="D14" s="13">
        <v>0</v>
      </c>
      <c r="E14" s="13">
        <v>0</v>
      </c>
      <c r="F14" s="13">
        <v>0</v>
      </c>
      <c r="G14" s="13" t="s">
        <v>185</v>
      </c>
    </row>
    <row r="15" spans="1:7">
      <c r="A15" s="13">
        <v>2023</v>
      </c>
      <c r="B15" s="13" t="s">
        <v>133</v>
      </c>
      <c r="C15" s="13">
        <v>0</v>
      </c>
      <c r="D15" s="13">
        <v>0</v>
      </c>
      <c r="E15" s="13">
        <v>0</v>
      </c>
      <c r="F15" s="13">
        <v>0</v>
      </c>
      <c r="G15" s="13" t="s">
        <v>185</v>
      </c>
    </row>
    <row r="16" spans="1:7">
      <c r="A16" s="13">
        <v>2023</v>
      </c>
      <c r="B16" s="13" t="s">
        <v>136</v>
      </c>
      <c r="C16" s="13">
        <v>0</v>
      </c>
      <c r="D16" s="13">
        <v>0</v>
      </c>
      <c r="E16" s="13">
        <v>0</v>
      </c>
      <c r="F16" s="13">
        <v>0</v>
      </c>
      <c r="G16" s="13" t="s">
        <v>185</v>
      </c>
    </row>
    <row r="17" spans="1:7">
      <c r="A17" s="13">
        <v>2023</v>
      </c>
      <c r="B17" s="13" t="s">
        <v>140</v>
      </c>
      <c r="C17" s="13">
        <v>0</v>
      </c>
      <c r="D17" s="13">
        <v>0</v>
      </c>
      <c r="E17" s="13">
        <v>0</v>
      </c>
      <c r="F17" s="13">
        <v>0</v>
      </c>
      <c r="G17" s="13" t="s">
        <v>185</v>
      </c>
    </row>
    <row r="18" spans="1:7">
      <c r="A18" s="13">
        <v>2023</v>
      </c>
      <c r="B18" s="13" t="s">
        <v>143</v>
      </c>
      <c r="C18" s="13">
        <v>0</v>
      </c>
      <c r="D18" s="13">
        <v>0</v>
      </c>
      <c r="E18" s="13">
        <v>0</v>
      </c>
      <c r="F18" s="13">
        <v>0</v>
      </c>
      <c r="G18" s="13" t="s">
        <v>185</v>
      </c>
    </row>
    <row r="19" spans="1:7">
      <c r="A19" s="13">
        <v>2023</v>
      </c>
      <c r="B19" s="13" t="s">
        <v>146</v>
      </c>
      <c r="C19" s="13">
        <v>0</v>
      </c>
      <c r="D19" s="13">
        <v>0</v>
      </c>
      <c r="E19" s="13">
        <v>0</v>
      </c>
      <c r="F19" s="13">
        <v>0</v>
      </c>
      <c r="G19" s="13" t="s">
        <v>185</v>
      </c>
    </row>
    <row r="20" spans="1:7">
      <c r="A20" s="13">
        <v>2024</v>
      </c>
      <c r="B20" s="13" t="s">
        <v>130</v>
      </c>
      <c r="C20" s="13">
        <v>0</v>
      </c>
      <c r="D20" s="13">
        <v>0</v>
      </c>
      <c r="E20" s="13">
        <v>0</v>
      </c>
      <c r="F20" s="13">
        <v>0</v>
      </c>
      <c r="G20" s="13" t="s">
        <v>185</v>
      </c>
    </row>
    <row r="21" spans="1:7">
      <c r="A21" s="13">
        <v>2024</v>
      </c>
      <c r="B21" s="13" t="s">
        <v>133</v>
      </c>
      <c r="C21" s="13">
        <v>1</v>
      </c>
      <c r="D21" s="13">
        <v>0</v>
      </c>
      <c r="E21" s="13">
        <v>0</v>
      </c>
      <c r="F21" s="13">
        <v>0</v>
      </c>
      <c r="G21" s="13" t="s">
        <v>185</v>
      </c>
    </row>
    <row r="22" spans="1:7">
      <c r="A22" s="13">
        <v>2024</v>
      </c>
      <c r="B22" s="13" t="s">
        <v>136</v>
      </c>
      <c r="C22" s="13">
        <v>0</v>
      </c>
      <c r="D22" s="13">
        <v>0</v>
      </c>
      <c r="E22" s="13">
        <v>0</v>
      </c>
      <c r="F22" s="13">
        <v>0</v>
      </c>
      <c r="G22" s="13" t="s">
        <v>185</v>
      </c>
    </row>
    <row r="23" spans="1:7">
      <c r="A23" s="13">
        <v>2024</v>
      </c>
      <c r="B23" s="13" t="s">
        <v>140</v>
      </c>
      <c r="C23" s="13">
        <v>0</v>
      </c>
      <c r="D23" s="13">
        <v>0</v>
      </c>
      <c r="E23" s="13">
        <v>0</v>
      </c>
      <c r="F23" s="13">
        <v>0</v>
      </c>
      <c r="G23" s="13" t="s">
        <v>185</v>
      </c>
    </row>
    <row r="24" spans="1:7">
      <c r="A24" s="13">
        <v>2024</v>
      </c>
      <c r="B24" s="13" t="s">
        <v>143</v>
      </c>
      <c r="C24" s="13">
        <v>1</v>
      </c>
      <c r="D24" s="13">
        <v>0</v>
      </c>
      <c r="E24" s="13">
        <v>0</v>
      </c>
      <c r="F24" s="13">
        <v>0</v>
      </c>
      <c r="G24" s="13" t="s">
        <v>185</v>
      </c>
    </row>
    <row r="25" spans="1:7">
      <c r="A25" s="13">
        <v>2024</v>
      </c>
      <c r="B25" s="13" t="s">
        <v>146</v>
      </c>
      <c r="C25" s="13">
        <v>0</v>
      </c>
      <c r="D25" s="13">
        <v>0</v>
      </c>
      <c r="E25" s="13">
        <v>0</v>
      </c>
      <c r="F25" s="13">
        <v>0</v>
      </c>
      <c r="G25" s="13" t="s">
        <v>185</v>
      </c>
    </row>
    <row r="26" spans="1:7">
      <c r="A26" s="13">
        <v>2025</v>
      </c>
      <c r="B26" s="13" t="s">
        <v>130</v>
      </c>
      <c r="C26" s="13">
        <v>0</v>
      </c>
      <c r="D26" s="13">
        <v>0</v>
      </c>
      <c r="E26" s="13">
        <v>0</v>
      </c>
      <c r="F26" s="13">
        <v>0</v>
      </c>
      <c r="G26" s="13" t="s">
        <v>185</v>
      </c>
    </row>
    <row r="27" spans="1:7">
      <c r="A27" s="13">
        <v>2025</v>
      </c>
      <c r="B27" s="13" t="s">
        <v>133</v>
      </c>
      <c r="C27" s="13">
        <v>1</v>
      </c>
      <c r="D27" s="13">
        <v>0</v>
      </c>
      <c r="E27" s="13">
        <v>0</v>
      </c>
      <c r="F27" s="13">
        <v>0</v>
      </c>
      <c r="G27" s="13" t="s">
        <v>185</v>
      </c>
    </row>
    <row r="28" spans="1:7">
      <c r="A28" s="13">
        <v>2025</v>
      </c>
      <c r="B28" s="13" t="s">
        <v>136</v>
      </c>
      <c r="C28" s="13">
        <v>0</v>
      </c>
      <c r="D28" s="13">
        <v>0</v>
      </c>
      <c r="E28" s="13">
        <v>0</v>
      </c>
      <c r="F28" s="13">
        <v>0</v>
      </c>
      <c r="G28" s="13" t="s">
        <v>185</v>
      </c>
    </row>
    <row r="29" spans="1:7">
      <c r="A29" s="13">
        <v>2025</v>
      </c>
      <c r="B29" s="13" t="s">
        <v>140</v>
      </c>
      <c r="C29" s="13">
        <v>0</v>
      </c>
      <c r="D29" s="13">
        <v>0</v>
      </c>
      <c r="E29" s="13">
        <v>0</v>
      </c>
      <c r="F29" s="13">
        <v>0</v>
      </c>
      <c r="G29" s="13" t="s">
        <v>185</v>
      </c>
    </row>
    <row r="30" spans="1:7">
      <c r="A30" s="13">
        <v>2025</v>
      </c>
      <c r="B30" s="13" t="s">
        <v>143</v>
      </c>
      <c r="C30" s="13">
        <v>1</v>
      </c>
      <c r="D30" s="13">
        <v>0</v>
      </c>
      <c r="E30" s="13">
        <v>0</v>
      </c>
      <c r="F30" s="13">
        <v>0</v>
      </c>
      <c r="G30" s="13" t="s">
        <v>185</v>
      </c>
    </row>
    <row r="31" spans="1:7">
      <c r="A31" s="13">
        <v>2025</v>
      </c>
      <c r="B31" s="13" t="s">
        <v>146</v>
      </c>
      <c r="C31" s="13">
        <v>0</v>
      </c>
      <c r="D31" s="13">
        <v>0</v>
      </c>
      <c r="E31" s="13">
        <v>0</v>
      </c>
      <c r="F31" s="13">
        <v>0</v>
      </c>
      <c r="G31" s="13" t="s">
        <v>185</v>
      </c>
    </row>
    <row r="32" spans="1:7">
      <c r="A32" s="13">
        <v>2026</v>
      </c>
      <c r="B32" s="13" t="s">
        <v>130</v>
      </c>
      <c r="C32" s="13">
        <v>1</v>
      </c>
      <c r="D32" s="13">
        <v>0</v>
      </c>
      <c r="E32" s="13">
        <v>0</v>
      </c>
      <c r="F32" s="13">
        <v>0</v>
      </c>
      <c r="G32" s="13" t="s">
        <v>188</v>
      </c>
    </row>
    <row r="33" spans="1:7">
      <c r="A33" s="13">
        <v>2026</v>
      </c>
      <c r="B33" s="13" t="s">
        <v>133</v>
      </c>
      <c r="C33" s="13">
        <v>2</v>
      </c>
      <c r="D33" s="13">
        <v>0</v>
      </c>
      <c r="E33" s="13">
        <v>0</v>
      </c>
      <c r="F33" s="13">
        <v>0</v>
      </c>
      <c r="G33" s="13" t="s">
        <v>188</v>
      </c>
    </row>
    <row r="34" spans="1:7">
      <c r="A34" s="13">
        <v>2026</v>
      </c>
      <c r="B34" s="13" t="s">
        <v>136</v>
      </c>
      <c r="C34" s="13">
        <v>0</v>
      </c>
      <c r="D34" s="13">
        <v>0</v>
      </c>
      <c r="E34" s="13">
        <v>0</v>
      </c>
      <c r="F34" s="13">
        <v>0</v>
      </c>
      <c r="G34" s="13" t="s">
        <v>188</v>
      </c>
    </row>
    <row r="35" spans="1:7">
      <c r="A35" s="13">
        <v>2026</v>
      </c>
      <c r="B35" s="13" t="s">
        <v>140</v>
      </c>
      <c r="C35" s="13">
        <v>0</v>
      </c>
      <c r="D35" s="13">
        <v>0</v>
      </c>
      <c r="E35" s="13">
        <v>0</v>
      </c>
      <c r="F35" s="13">
        <v>0</v>
      </c>
      <c r="G35" s="13" t="s">
        <v>188</v>
      </c>
    </row>
    <row r="36" spans="1:7">
      <c r="A36" s="13">
        <v>2026</v>
      </c>
      <c r="B36" s="13" t="s">
        <v>143</v>
      </c>
      <c r="C36" s="13">
        <v>1</v>
      </c>
      <c r="D36" s="13">
        <v>0</v>
      </c>
      <c r="E36" s="13">
        <v>0</v>
      </c>
      <c r="F36" s="13">
        <v>0</v>
      </c>
      <c r="G36" s="13" t="s">
        <v>188</v>
      </c>
    </row>
    <row r="37" spans="1:7">
      <c r="A37" s="13">
        <v>2026</v>
      </c>
      <c r="B37" s="13" t="s">
        <v>146</v>
      </c>
      <c r="C37" s="13">
        <v>0</v>
      </c>
      <c r="D37" s="13">
        <v>0</v>
      </c>
      <c r="E37" s="13">
        <v>0</v>
      </c>
      <c r="F37" s="13">
        <v>0</v>
      </c>
      <c r="G37" s="13" t="s">
        <v>188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"/>
  <sheetViews>
    <sheetView workbookViewId="0">
      <selection activeCell="C8" sqref="C8"/>
    </sheetView>
  </sheetViews>
  <sheetFormatPr defaultRowHeight="14.25"/>
  <cols>
    <col min="1" max="2" width="20" customWidth="1"/>
    <col min="3" max="4" width="24" customWidth="1"/>
    <col min="5" max="10" width="20" customWidth="1"/>
  </cols>
  <sheetData>
    <row r="1" spans="1:10" ht="15">
      <c r="A1" s="10" t="s">
        <v>172</v>
      </c>
      <c r="B1" s="10" t="s">
        <v>205</v>
      </c>
      <c r="C1" s="10" t="s">
        <v>206</v>
      </c>
      <c r="D1" s="10" t="s">
        <v>173</v>
      </c>
      <c r="E1" s="11" t="s">
        <v>207</v>
      </c>
      <c r="F1" s="11" t="s">
        <v>208</v>
      </c>
      <c r="G1" s="11" t="s">
        <v>176</v>
      </c>
      <c r="H1" s="12" t="s">
        <v>177</v>
      </c>
      <c r="I1" s="10" t="s">
        <v>209</v>
      </c>
      <c r="J1" s="10" t="s">
        <v>129</v>
      </c>
    </row>
    <row r="2" spans="1:10">
      <c r="A2" s="13">
        <v>2025</v>
      </c>
      <c r="B2" s="13" t="s">
        <v>210</v>
      </c>
      <c r="C2" s="13" t="s">
        <v>211</v>
      </c>
      <c r="D2" s="13" t="s">
        <v>212</v>
      </c>
      <c r="E2" s="13">
        <v>25000000000</v>
      </c>
      <c r="F2" s="13">
        <v>19000000000</v>
      </c>
      <c r="G2" s="13">
        <f t="shared" ref="G2:G7" si="0">E2-F2</f>
        <v>6000000000</v>
      </c>
      <c r="H2" s="13">
        <f t="shared" ref="H2:H7" si="1">IF(E2&gt;0,G2/E2,"")</f>
        <v>0.24</v>
      </c>
      <c r="I2" s="13" t="s">
        <v>213</v>
      </c>
      <c r="J2" s="13" t="s">
        <v>185</v>
      </c>
    </row>
    <row r="3" spans="1:10">
      <c r="A3" s="13">
        <v>2025</v>
      </c>
      <c r="B3" s="13" t="s">
        <v>214</v>
      </c>
      <c r="C3" s="13" t="s">
        <v>215</v>
      </c>
      <c r="D3" s="13" t="s">
        <v>216</v>
      </c>
      <c r="E3" s="13">
        <v>18000000000</v>
      </c>
      <c r="F3" s="13">
        <v>14200000000</v>
      </c>
      <c r="G3" s="13">
        <f t="shared" si="0"/>
        <v>3800000000</v>
      </c>
      <c r="H3" s="13">
        <f t="shared" si="1"/>
        <v>0.21111111111111111</v>
      </c>
      <c r="I3" s="13" t="s">
        <v>217</v>
      </c>
      <c r="J3" s="13" t="s">
        <v>185</v>
      </c>
    </row>
    <row r="4" spans="1:10">
      <c r="A4" s="13">
        <v>2025</v>
      </c>
      <c r="B4" s="13" t="s">
        <v>218</v>
      </c>
      <c r="C4" s="13" t="s">
        <v>219</v>
      </c>
      <c r="D4" s="13" t="s">
        <v>220</v>
      </c>
      <c r="E4" s="13">
        <v>12000000000</v>
      </c>
      <c r="F4" s="13">
        <v>8900000000</v>
      </c>
      <c r="G4" s="13">
        <f t="shared" si="0"/>
        <v>3100000000</v>
      </c>
      <c r="H4" s="13">
        <f t="shared" si="1"/>
        <v>0.25833333333333336</v>
      </c>
      <c r="I4" s="13" t="s">
        <v>213</v>
      </c>
      <c r="J4" s="13" t="s">
        <v>185</v>
      </c>
    </row>
    <row r="5" spans="1:10">
      <c r="A5" s="13">
        <v>2026</v>
      </c>
      <c r="B5" s="13" t="s">
        <v>221</v>
      </c>
      <c r="C5" s="13" t="s">
        <v>222</v>
      </c>
      <c r="D5" s="13" t="s">
        <v>212</v>
      </c>
      <c r="E5" s="13">
        <v>31000000000</v>
      </c>
      <c r="F5" s="13">
        <v>22400000000</v>
      </c>
      <c r="G5" s="13">
        <f t="shared" si="0"/>
        <v>8600000000</v>
      </c>
      <c r="H5" s="13">
        <f t="shared" si="1"/>
        <v>0.27741935483870966</v>
      </c>
      <c r="I5" s="13" t="s">
        <v>213</v>
      </c>
      <c r="J5" s="13" t="s">
        <v>188</v>
      </c>
    </row>
    <row r="6" spans="1:10">
      <c r="A6" s="13">
        <v>2026</v>
      </c>
      <c r="B6" s="13" t="s">
        <v>223</v>
      </c>
      <c r="C6" s="13" t="s">
        <v>224</v>
      </c>
      <c r="D6" s="13" t="s">
        <v>216</v>
      </c>
      <c r="E6" s="13">
        <v>21000000000</v>
      </c>
      <c r="F6" s="13">
        <v>15800000000</v>
      </c>
      <c r="G6" s="13">
        <f t="shared" si="0"/>
        <v>5200000000</v>
      </c>
      <c r="H6" s="13">
        <f t="shared" si="1"/>
        <v>0.24761904761904763</v>
      </c>
      <c r="I6" s="13" t="s">
        <v>213</v>
      </c>
      <c r="J6" s="13" t="s">
        <v>188</v>
      </c>
    </row>
    <row r="7" spans="1:10">
      <c r="A7" s="13">
        <v>2026</v>
      </c>
      <c r="B7" s="13" t="s">
        <v>225</v>
      </c>
      <c r="C7" s="13" t="s">
        <v>226</v>
      </c>
      <c r="D7" s="13" t="s">
        <v>220</v>
      </c>
      <c r="E7" s="13">
        <v>14500000000</v>
      </c>
      <c r="F7" s="13">
        <v>10500000000</v>
      </c>
      <c r="G7" s="13">
        <f t="shared" si="0"/>
        <v>4000000000</v>
      </c>
      <c r="H7" s="13">
        <f t="shared" si="1"/>
        <v>0.27586206896551724</v>
      </c>
      <c r="I7" s="13" t="s">
        <v>213</v>
      </c>
      <c r="J7" s="13" t="s">
        <v>188</v>
      </c>
    </row>
  </sheetData>
  <dataValidations count="1">
    <dataValidation type="list" sqref="I2:I500" xr:uid="{00000000-0002-0000-0B00-000000000000}">
      <formula1>"Active,Closed,On Hold,Cancelled"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"/>
  <sheetViews>
    <sheetView workbookViewId="0">
      <selection activeCell="I2" sqref="I2"/>
    </sheetView>
  </sheetViews>
  <sheetFormatPr defaultRowHeight="14.25"/>
  <cols>
    <col min="1" max="10" width="20" customWidth="1"/>
  </cols>
  <sheetData>
    <row r="1" spans="1:10" ht="30">
      <c r="A1" s="10" t="s">
        <v>172</v>
      </c>
      <c r="B1" s="10" t="s">
        <v>125</v>
      </c>
      <c r="C1" s="12" t="s">
        <v>227</v>
      </c>
      <c r="D1" s="10" t="s">
        <v>228</v>
      </c>
      <c r="E1" s="10" t="s">
        <v>229</v>
      </c>
      <c r="F1" s="10" t="s">
        <v>230</v>
      </c>
      <c r="G1" s="10" t="s">
        <v>231</v>
      </c>
      <c r="H1" s="10" t="s">
        <v>232</v>
      </c>
      <c r="I1" s="10" t="s">
        <v>233</v>
      </c>
      <c r="J1" s="10" t="s">
        <v>129</v>
      </c>
    </row>
    <row r="2" spans="1:10">
      <c r="A2" s="13">
        <v>2021</v>
      </c>
      <c r="B2" s="13" t="s">
        <v>130</v>
      </c>
      <c r="C2" s="13">
        <v>0.78</v>
      </c>
      <c r="D2" s="13">
        <v>120</v>
      </c>
      <c r="E2" s="13">
        <v>8</v>
      </c>
      <c r="F2" s="13">
        <v>0</v>
      </c>
      <c r="G2" s="13">
        <v>2</v>
      </c>
      <c r="H2" s="13">
        <v>0</v>
      </c>
      <c r="I2" s="13" t="s">
        <v>234</v>
      </c>
      <c r="J2" s="13" t="s">
        <v>185</v>
      </c>
    </row>
    <row r="3" spans="1:10">
      <c r="A3" s="13">
        <v>2021</v>
      </c>
      <c r="B3" s="13" t="s">
        <v>133</v>
      </c>
      <c r="C3" s="13">
        <v>0.86</v>
      </c>
      <c r="D3" s="13">
        <v>420</v>
      </c>
      <c r="E3" s="13">
        <v>24</v>
      </c>
      <c r="F3" s="13">
        <v>2</v>
      </c>
      <c r="G3" s="13">
        <v>8</v>
      </c>
      <c r="H3" s="13">
        <v>1</v>
      </c>
      <c r="I3" s="13" t="s">
        <v>235</v>
      </c>
      <c r="J3" s="13" t="s">
        <v>185</v>
      </c>
    </row>
    <row r="4" spans="1:10">
      <c r="A4" s="13">
        <v>2021</v>
      </c>
      <c r="B4" s="13" t="s">
        <v>143</v>
      </c>
      <c r="C4" s="13">
        <v>0.88</v>
      </c>
      <c r="D4" s="13">
        <v>360</v>
      </c>
      <c r="E4" s="13">
        <v>20</v>
      </c>
      <c r="F4" s="13">
        <v>1</v>
      </c>
      <c r="G4" s="13">
        <v>6</v>
      </c>
      <c r="H4" s="13">
        <v>1</v>
      </c>
      <c r="I4" s="13" t="s">
        <v>235</v>
      </c>
      <c r="J4" s="13" t="s">
        <v>185</v>
      </c>
    </row>
    <row r="5" spans="1:10">
      <c r="A5" s="13">
        <v>2021</v>
      </c>
      <c r="B5" s="13" t="s">
        <v>136</v>
      </c>
      <c r="C5" s="13">
        <v>0.7</v>
      </c>
      <c r="D5" s="13">
        <v>60</v>
      </c>
      <c r="E5" s="13">
        <v>3</v>
      </c>
      <c r="F5" s="13">
        <v>0</v>
      </c>
      <c r="G5" s="13">
        <v>1</v>
      </c>
      <c r="H5" s="13">
        <v>0</v>
      </c>
      <c r="I5" s="13" t="s">
        <v>236</v>
      </c>
      <c r="J5" s="13" t="s">
        <v>185</v>
      </c>
    </row>
    <row r="6" spans="1:10">
      <c r="A6" s="13">
        <v>2022</v>
      </c>
      <c r="B6" s="13" t="s">
        <v>130</v>
      </c>
      <c r="C6" s="13">
        <v>0.78</v>
      </c>
      <c r="D6" s="13">
        <v>120</v>
      </c>
      <c r="E6" s="13">
        <v>8</v>
      </c>
      <c r="F6" s="13">
        <v>0</v>
      </c>
      <c r="G6" s="13">
        <v>2</v>
      </c>
      <c r="H6" s="13">
        <v>0</v>
      </c>
      <c r="I6" s="13" t="s">
        <v>234</v>
      </c>
      <c r="J6" s="13" t="s">
        <v>185</v>
      </c>
    </row>
    <row r="7" spans="1:10">
      <c r="A7" s="13">
        <v>2022</v>
      </c>
      <c r="B7" s="13" t="s">
        <v>133</v>
      </c>
      <c r="C7" s="13">
        <v>0.86</v>
      </c>
      <c r="D7" s="13">
        <v>420</v>
      </c>
      <c r="E7" s="13">
        <v>24</v>
      </c>
      <c r="F7" s="13">
        <v>2</v>
      </c>
      <c r="G7" s="13">
        <v>8</v>
      </c>
      <c r="H7" s="13">
        <v>1</v>
      </c>
      <c r="I7" s="13" t="s">
        <v>235</v>
      </c>
      <c r="J7" s="13" t="s">
        <v>185</v>
      </c>
    </row>
    <row r="8" spans="1:10">
      <c r="A8" s="13">
        <v>2022</v>
      </c>
      <c r="B8" s="13" t="s">
        <v>143</v>
      </c>
      <c r="C8" s="13">
        <v>0.88</v>
      </c>
      <c r="D8" s="13">
        <v>360</v>
      </c>
      <c r="E8" s="13">
        <v>20</v>
      </c>
      <c r="F8" s="13">
        <v>1</v>
      </c>
      <c r="G8" s="13">
        <v>6</v>
      </c>
      <c r="H8" s="13">
        <v>1</v>
      </c>
      <c r="I8" s="13" t="s">
        <v>235</v>
      </c>
      <c r="J8" s="13" t="s">
        <v>185</v>
      </c>
    </row>
    <row r="9" spans="1:10">
      <c r="A9" s="13">
        <v>2022</v>
      </c>
      <c r="B9" s="13" t="s">
        <v>136</v>
      </c>
      <c r="C9" s="13">
        <v>0.7</v>
      </c>
      <c r="D9" s="13">
        <v>60</v>
      </c>
      <c r="E9" s="13">
        <v>3</v>
      </c>
      <c r="F9" s="13">
        <v>0</v>
      </c>
      <c r="G9" s="13">
        <v>1</v>
      </c>
      <c r="H9" s="13">
        <v>0</v>
      </c>
      <c r="I9" s="13" t="s">
        <v>236</v>
      </c>
      <c r="J9" s="13" t="s">
        <v>185</v>
      </c>
    </row>
    <row r="10" spans="1:10">
      <c r="A10" s="13">
        <v>2023</v>
      </c>
      <c r="B10" s="13" t="s">
        <v>130</v>
      </c>
      <c r="C10" s="13">
        <v>0.78</v>
      </c>
      <c r="D10" s="13">
        <v>120</v>
      </c>
      <c r="E10" s="13">
        <v>8</v>
      </c>
      <c r="F10" s="13">
        <v>0</v>
      </c>
      <c r="G10" s="13">
        <v>2</v>
      </c>
      <c r="H10" s="13">
        <v>0</v>
      </c>
      <c r="I10" s="13" t="s">
        <v>234</v>
      </c>
      <c r="J10" s="13" t="s">
        <v>185</v>
      </c>
    </row>
    <row r="11" spans="1:10">
      <c r="A11" s="13">
        <v>2023</v>
      </c>
      <c r="B11" s="13" t="s">
        <v>133</v>
      </c>
      <c r="C11" s="13">
        <v>0.86</v>
      </c>
      <c r="D11" s="13">
        <v>420</v>
      </c>
      <c r="E11" s="13">
        <v>24</v>
      </c>
      <c r="F11" s="13">
        <v>2</v>
      </c>
      <c r="G11" s="13">
        <v>8</v>
      </c>
      <c r="H11" s="13">
        <v>1</v>
      </c>
      <c r="I11" s="13" t="s">
        <v>235</v>
      </c>
      <c r="J11" s="13" t="s">
        <v>185</v>
      </c>
    </row>
    <row r="12" spans="1:10">
      <c r="A12" s="13">
        <v>2023</v>
      </c>
      <c r="B12" s="13" t="s">
        <v>143</v>
      </c>
      <c r="C12" s="13">
        <v>0.88</v>
      </c>
      <c r="D12" s="13">
        <v>360</v>
      </c>
      <c r="E12" s="13">
        <v>20</v>
      </c>
      <c r="F12" s="13">
        <v>1</v>
      </c>
      <c r="G12" s="13">
        <v>6</v>
      </c>
      <c r="H12" s="13">
        <v>1</v>
      </c>
      <c r="I12" s="13" t="s">
        <v>235</v>
      </c>
      <c r="J12" s="13" t="s">
        <v>185</v>
      </c>
    </row>
    <row r="13" spans="1:10">
      <c r="A13" s="13">
        <v>2023</v>
      </c>
      <c r="B13" s="13" t="s">
        <v>136</v>
      </c>
      <c r="C13" s="13">
        <v>0.7</v>
      </c>
      <c r="D13" s="13">
        <v>60</v>
      </c>
      <c r="E13" s="13">
        <v>3</v>
      </c>
      <c r="F13" s="13">
        <v>0</v>
      </c>
      <c r="G13" s="13">
        <v>1</v>
      </c>
      <c r="H13" s="13">
        <v>0</v>
      </c>
      <c r="I13" s="13" t="s">
        <v>236</v>
      </c>
      <c r="J13" s="13" t="s">
        <v>185</v>
      </c>
    </row>
    <row r="14" spans="1:10">
      <c r="A14" s="13">
        <v>2024</v>
      </c>
      <c r="B14" s="13" t="s">
        <v>130</v>
      </c>
      <c r="C14" s="13">
        <v>0.78</v>
      </c>
      <c r="D14" s="13">
        <v>120</v>
      </c>
      <c r="E14" s="13">
        <v>8</v>
      </c>
      <c r="F14" s="13">
        <v>0</v>
      </c>
      <c r="G14" s="13">
        <v>2</v>
      </c>
      <c r="H14" s="13">
        <v>0</v>
      </c>
      <c r="I14" s="13" t="s">
        <v>234</v>
      </c>
      <c r="J14" s="13" t="s">
        <v>185</v>
      </c>
    </row>
    <row r="15" spans="1:10">
      <c r="A15" s="13">
        <v>2024</v>
      </c>
      <c r="B15" s="13" t="s">
        <v>133</v>
      </c>
      <c r="C15" s="13">
        <v>0.86</v>
      </c>
      <c r="D15" s="13">
        <v>420</v>
      </c>
      <c r="E15" s="13">
        <v>24</v>
      </c>
      <c r="F15" s="13">
        <v>2</v>
      </c>
      <c r="G15" s="13">
        <v>8</v>
      </c>
      <c r="H15" s="13">
        <v>1</v>
      </c>
      <c r="I15" s="13" t="s">
        <v>235</v>
      </c>
      <c r="J15" s="13" t="s">
        <v>185</v>
      </c>
    </row>
    <row r="16" spans="1:10">
      <c r="A16" s="13">
        <v>2024</v>
      </c>
      <c r="B16" s="13" t="s">
        <v>143</v>
      </c>
      <c r="C16" s="13">
        <v>0.88</v>
      </c>
      <c r="D16" s="13">
        <v>360</v>
      </c>
      <c r="E16" s="13">
        <v>20</v>
      </c>
      <c r="F16" s="13">
        <v>1</v>
      </c>
      <c r="G16" s="13">
        <v>6</v>
      </c>
      <c r="H16" s="13">
        <v>1</v>
      </c>
      <c r="I16" s="13" t="s">
        <v>235</v>
      </c>
      <c r="J16" s="13" t="s">
        <v>185</v>
      </c>
    </row>
    <row r="17" spans="1:10">
      <c r="A17" s="13">
        <v>2024</v>
      </c>
      <c r="B17" s="13" t="s">
        <v>136</v>
      </c>
      <c r="C17" s="13">
        <v>0.7</v>
      </c>
      <c r="D17" s="13">
        <v>60</v>
      </c>
      <c r="E17" s="13">
        <v>3</v>
      </c>
      <c r="F17" s="13">
        <v>0</v>
      </c>
      <c r="G17" s="13">
        <v>1</v>
      </c>
      <c r="H17" s="13">
        <v>0</v>
      </c>
      <c r="I17" s="13" t="s">
        <v>236</v>
      </c>
      <c r="J17" s="13" t="s">
        <v>185</v>
      </c>
    </row>
    <row r="18" spans="1:10">
      <c r="A18" s="13">
        <v>2025</v>
      </c>
      <c r="B18" s="13" t="s">
        <v>130</v>
      </c>
      <c r="C18" s="13">
        <v>0.78</v>
      </c>
      <c r="D18" s="13">
        <v>120</v>
      </c>
      <c r="E18" s="13">
        <v>8</v>
      </c>
      <c r="F18" s="13">
        <v>0</v>
      </c>
      <c r="G18" s="13">
        <v>2</v>
      </c>
      <c r="H18" s="13">
        <v>0</v>
      </c>
      <c r="I18" s="13" t="s">
        <v>234</v>
      </c>
      <c r="J18" s="13" t="s">
        <v>185</v>
      </c>
    </row>
    <row r="19" spans="1:10">
      <c r="A19" s="13">
        <v>2025</v>
      </c>
      <c r="B19" s="13" t="s">
        <v>133</v>
      </c>
      <c r="C19" s="13">
        <v>0.86</v>
      </c>
      <c r="D19" s="13">
        <v>420</v>
      </c>
      <c r="E19" s="13">
        <v>24</v>
      </c>
      <c r="F19" s="13">
        <v>2</v>
      </c>
      <c r="G19" s="13">
        <v>8</v>
      </c>
      <c r="H19" s="13">
        <v>1</v>
      </c>
      <c r="I19" s="13" t="s">
        <v>235</v>
      </c>
      <c r="J19" s="13" t="s">
        <v>185</v>
      </c>
    </row>
    <row r="20" spans="1:10">
      <c r="A20" s="13">
        <v>2025</v>
      </c>
      <c r="B20" s="13" t="s">
        <v>143</v>
      </c>
      <c r="C20" s="13">
        <v>0.88</v>
      </c>
      <c r="D20" s="13">
        <v>360</v>
      </c>
      <c r="E20" s="13">
        <v>20</v>
      </c>
      <c r="F20" s="13">
        <v>1</v>
      </c>
      <c r="G20" s="13">
        <v>6</v>
      </c>
      <c r="H20" s="13">
        <v>1</v>
      </c>
      <c r="I20" s="13" t="s">
        <v>235</v>
      </c>
      <c r="J20" s="13" t="s">
        <v>185</v>
      </c>
    </row>
    <row r="21" spans="1:10">
      <c r="A21" s="13">
        <v>2025</v>
      </c>
      <c r="B21" s="13" t="s">
        <v>136</v>
      </c>
      <c r="C21" s="13">
        <v>0.7</v>
      </c>
      <c r="D21" s="13">
        <v>60</v>
      </c>
      <c r="E21" s="13">
        <v>3</v>
      </c>
      <c r="F21" s="13">
        <v>0</v>
      </c>
      <c r="G21" s="13">
        <v>1</v>
      </c>
      <c r="H21" s="13">
        <v>0</v>
      </c>
      <c r="I21" s="13" t="s">
        <v>236</v>
      </c>
      <c r="J21" s="13" t="s">
        <v>185</v>
      </c>
    </row>
    <row r="22" spans="1:10">
      <c r="A22" s="13">
        <v>2026</v>
      </c>
      <c r="B22" s="13" t="s">
        <v>130</v>
      </c>
      <c r="C22" s="13">
        <v>0.8</v>
      </c>
      <c r="D22" s="13">
        <v>140</v>
      </c>
      <c r="E22" s="13">
        <v>9</v>
      </c>
      <c r="F22" s="13">
        <v>0</v>
      </c>
      <c r="G22" s="13">
        <v>2</v>
      </c>
      <c r="H22" s="13">
        <v>0</v>
      </c>
      <c r="I22" s="13" t="s">
        <v>234</v>
      </c>
      <c r="J22" s="13" t="s">
        <v>188</v>
      </c>
    </row>
    <row r="23" spans="1:10">
      <c r="A23" s="13">
        <v>2026</v>
      </c>
      <c r="B23" s="13" t="s">
        <v>133</v>
      </c>
      <c r="C23" s="13">
        <v>0.87</v>
      </c>
      <c r="D23" s="13">
        <v>460</v>
      </c>
      <c r="E23" s="13">
        <v>26</v>
      </c>
      <c r="F23" s="13">
        <v>2</v>
      </c>
      <c r="G23" s="13">
        <v>9</v>
      </c>
      <c r="H23" s="13">
        <v>1</v>
      </c>
      <c r="I23" s="13" t="s">
        <v>235</v>
      </c>
      <c r="J23" s="13" t="s">
        <v>188</v>
      </c>
    </row>
    <row r="24" spans="1:10">
      <c r="A24" s="13">
        <v>2026</v>
      </c>
      <c r="B24" s="13" t="s">
        <v>143</v>
      </c>
      <c r="C24" s="13">
        <v>0.89</v>
      </c>
      <c r="D24" s="13">
        <v>390</v>
      </c>
      <c r="E24" s="13">
        <v>22</v>
      </c>
      <c r="F24" s="13">
        <v>1</v>
      </c>
      <c r="G24" s="13">
        <v>7</v>
      </c>
      <c r="H24" s="13">
        <v>1</v>
      </c>
      <c r="I24" s="13" t="s">
        <v>235</v>
      </c>
      <c r="J24" s="13" t="s">
        <v>188</v>
      </c>
    </row>
    <row r="25" spans="1:10">
      <c r="A25" s="13">
        <v>2026</v>
      </c>
      <c r="B25" s="13" t="s">
        <v>136</v>
      </c>
      <c r="C25" s="13">
        <v>0.71</v>
      </c>
      <c r="D25" s="13">
        <v>70</v>
      </c>
      <c r="E25" s="13">
        <v>3</v>
      </c>
      <c r="F25" s="13">
        <v>0</v>
      </c>
      <c r="G25" s="13">
        <v>1</v>
      </c>
      <c r="H25" s="13">
        <v>0</v>
      </c>
      <c r="I25" s="13" t="s">
        <v>236</v>
      </c>
      <c r="J25" s="13" t="s">
        <v>188</v>
      </c>
    </row>
  </sheetData>
  <dataValidations count="1">
    <dataValidation type="list" sqref="I2:I500" xr:uid="{00000000-0002-0000-0C00-000000000000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2"/>
  <sheetViews>
    <sheetView workbookViewId="0"/>
  </sheetViews>
  <sheetFormatPr defaultRowHeight="14.25"/>
  <cols>
    <col min="1" max="1" width="28" customWidth="1"/>
    <col min="2" max="2" width="32" customWidth="1"/>
  </cols>
  <sheetData>
    <row r="1" spans="1:2" ht="24" customHeight="1">
      <c r="A1" s="6" t="s">
        <v>237</v>
      </c>
    </row>
    <row r="3" spans="1:2" ht="15">
      <c r="A3" s="3" t="s">
        <v>238</v>
      </c>
      <c r="B3" s="3">
        <v>2026</v>
      </c>
    </row>
    <row r="4" spans="1:2">
      <c r="A4" s="2" t="s">
        <v>239</v>
      </c>
      <c r="B4" s="7">
        <f>SUMIFS(REVENUE_YR!C:C,REVENUE_YR!A:A,B3)</f>
        <v>20000000000</v>
      </c>
    </row>
    <row r="5" spans="1:2">
      <c r="A5" s="2" t="s">
        <v>240</v>
      </c>
      <c r="B5" s="7">
        <f>SUMIFS(REVENUE_YR!D:D,REVENUE_YR!A:A,B3)</f>
        <v>17000000000</v>
      </c>
    </row>
    <row r="6" spans="1:2">
      <c r="A6" s="2" t="s">
        <v>241</v>
      </c>
      <c r="B6" s="4">
        <f>IF(B4&gt;0,(B4-B5)/B4,"")</f>
        <v>0.15</v>
      </c>
    </row>
    <row r="7" spans="1:2">
      <c r="A7" s="2" t="s">
        <v>242</v>
      </c>
      <c r="B7" s="8">
        <f>SUMIFS(HEADCOUNT_YR!C:C,HEADCOUNT_YR!A:A,B3)</f>
        <v>71</v>
      </c>
    </row>
    <row r="8" spans="1:2">
      <c r="A8" s="2" t="s">
        <v>243</v>
      </c>
      <c r="B8" s="7">
        <f>SUMIFS(PAYROLL_YR!H:H,PAYROLL_YR!A:A,B3)</f>
        <v>4577400159</v>
      </c>
    </row>
    <row r="9" spans="1:2">
      <c r="A9" s="2" t="s">
        <v>244</v>
      </c>
      <c r="B9" s="7">
        <f>IF(B7&gt;0,B4/B7,"")</f>
        <v>281690140.84507042</v>
      </c>
    </row>
    <row r="10" spans="1:2">
      <c r="A10" s="2" t="s">
        <v>245</v>
      </c>
      <c r="B10" s="4">
        <f>IF(B4&gt;0,B8/B4,"")</f>
        <v>0.22887000795000001</v>
      </c>
    </row>
    <row r="11" spans="1:2" ht="30">
      <c r="A11" s="2" t="s">
        <v>246</v>
      </c>
      <c r="B11" s="9" t="str">
        <f>IF(B10&lt;=0.09,"HIGH_LEVERAGE/LOW COST BASE","REVIEW")</f>
        <v>REVIEW</v>
      </c>
    </row>
    <row r="12" spans="1:2" ht="15">
      <c r="A12" s="2" t="s">
        <v>247</v>
      </c>
      <c r="B12" s="9" t="str">
        <f>IF(B6&gt;=0.35,"STRONG",IF(B6&gt;=0.25,"HEALTHY",IF(B6&gt;=0.15,"WATCH",IF(B6&gt;=0.1,"PRESSURE","CRITICAL"))))</f>
        <v>WATCH</v>
      </c>
    </row>
  </sheetData>
  <conditionalFormatting sqref="B6">
    <cfRule type="cellIs" dxfId="1" priority="1" operator="lessThan">
      <formula>0.25</formula>
    </cfRule>
  </conditionalFormatting>
  <conditionalFormatting sqref="B10">
    <cfRule type="cellIs" dxfId="0" priority="2" operator="greaterThan">
      <formula>0.09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"/>
  <sheetViews>
    <sheetView workbookViewId="0"/>
  </sheetViews>
  <sheetFormatPr defaultRowHeight="14.25"/>
  <cols>
    <col min="1" max="1" width="12" customWidth="1"/>
    <col min="2" max="2" width="18" customWidth="1"/>
    <col min="3" max="3" width="16" customWidth="1"/>
    <col min="4" max="4" width="20" customWidth="1"/>
    <col min="5" max="5" width="22" customWidth="1"/>
    <col min="6" max="6" width="18" customWidth="1"/>
    <col min="7" max="7" width="68" customWidth="1"/>
  </cols>
  <sheetData>
    <row r="1" spans="1:7" ht="15">
      <c r="A1" s="16" t="s">
        <v>172</v>
      </c>
      <c r="B1" s="16" t="s">
        <v>248</v>
      </c>
      <c r="C1" s="16" t="s">
        <v>249</v>
      </c>
      <c r="D1" s="16" t="s">
        <v>250</v>
      </c>
      <c r="E1" s="17" t="s">
        <v>251</v>
      </c>
      <c r="F1" s="16" t="s">
        <v>252</v>
      </c>
      <c r="G1" s="16" t="s">
        <v>50</v>
      </c>
    </row>
    <row r="2" spans="1:7">
      <c r="A2" s="14">
        <v>2021</v>
      </c>
      <c r="B2" s="14">
        <v>12</v>
      </c>
      <c r="C2" s="14" t="s">
        <v>253</v>
      </c>
      <c r="D2" s="14" t="s">
        <v>254</v>
      </c>
      <c r="E2" s="14">
        <f t="shared" ref="E2:E7" si="0">IF(B2&gt;0,12/B2,"")</f>
        <v>1</v>
      </c>
      <c r="F2" s="14" t="s">
        <v>235</v>
      </c>
      <c r="G2" s="14" t="s">
        <v>255</v>
      </c>
    </row>
    <row r="3" spans="1:7">
      <c r="A3" s="14">
        <v>2022</v>
      </c>
      <c r="B3" s="14">
        <v>12</v>
      </c>
      <c r="C3" s="14" t="s">
        <v>253</v>
      </c>
      <c r="D3" s="14" t="s">
        <v>256</v>
      </c>
      <c r="E3" s="14">
        <f t="shared" si="0"/>
        <v>1</v>
      </c>
      <c r="F3" s="14" t="s">
        <v>235</v>
      </c>
      <c r="G3" s="14" t="s">
        <v>255</v>
      </c>
    </row>
    <row r="4" spans="1:7">
      <c r="A4" s="14">
        <v>2023</v>
      </c>
      <c r="B4" s="14">
        <v>12</v>
      </c>
      <c r="C4" s="14" t="s">
        <v>253</v>
      </c>
      <c r="D4" s="14" t="s">
        <v>257</v>
      </c>
      <c r="E4" s="14">
        <f t="shared" si="0"/>
        <v>1</v>
      </c>
      <c r="F4" s="14" t="s">
        <v>235</v>
      </c>
      <c r="G4" s="14" t="s">
        <v>255</v>
      </c>
    </row>
    <row r="5" spans="1:7">
      <c r="A5" s="14">
        <v>2024</v>
      </c>
      <c r="B5" s="14">
        <v>12</v>
      </c>
      <c r="C5" s="14" t="s">
        <v>253</v>
      </c>
      <c r="D5" s="14" t="s">
        <v>258</v>
      </c>
      <c r="E5" s="14">
        <f t="shared" si="0"/>
        <v>1</v>
      </c>
      <c r="F5" s="14" t="s">
        <v>235</v>
      </c>
      <c r="G5" s="14" t="s">
        <v>255</v>
      </c>
    </row>
    <row r="6" spans="1:7">
      <c r="A6" s="14">
        <v>2025</v>
      </c>
      <c r="B6" s="14">
        <v>12</v>
      </c>
      <c r="C6" s="14" t="s">
        <v>253</v>
      </c>
      <c r="D6" s="14" t="s">
        <v>259</v>
      </c>
      <c r="E6" s="14">
        <f t="shared" si="0"/>
        <v>1</v>
      </c>
      <c r="F6" s="14" t="s">
        <v>235</v>
      </c>
      <c r="G6" s="14" t="s">
        <v>255</v>
      </c>
    </row>
    <row r="7" spans="1:7">
      <c r="A7" s="14">
        <v>2026</v>
      </c>
      <c r="B7" s="14">
        <v>6</v>
      </c>
      <c r="C7" s="14" t="s">
        <v>260</v>
      </c>
      <c r="D7" s="14" t="s">
        <v>261</v>
      </c>
      <c r="E7" s="14">
        <f t="shared" si="0"/>
        <v>2</v>
      </c>
      <c r="F7" s="14" t="s">
        <v>234</v>
      </c>
      <c r="G7" s="14" t="s">
        <v>262</v>
      </c>
    </row>
  </sheetData>
  <dataValidations count="2">
    <dataValidation type="list" sqref="C2:C100" xr:uid="{00000000-0002-0000-0E00-000000000000}">
      <formula1>"FY,YTD"</formula1>
    </dataValidation>
    <dataValidation type="list" sqref="F2:F100" xr:uid="{00000000-0002-0000-0E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PARAMETERS</vt:lpstr>
      <vt:lpstr>TARGETS</vt:lpstr>
      <vt:lpstr>FJA_MAPPING</vt:lpstr>
      <vt:lpstr>DIM_DEPARTMENT</vt:lpstr>
      <vt:lpstr>DIM_EMPLOYEE</vt:lpstr>
      <vt:lpstr>REVENUE_YR</vt:lpstr>
      <vt:lpstr>REVENUE_BY_DEPT</vt:lpstr>
      <vt:lpstr>HEADCOUNT_YR</vt:lpstr>
      <vt:lpstr>PAYROLL_YR</vt:lpstr>
      <vt:lpstr>HC_MOVEMENT</vt:lpstr>
      <vt:lpstr>PROJECT_MARGIN</vt:lpstr>
      <vt:lpstr>CAPACITY_INDICATOR</vt:lpstr>
      <vt:lpstr>EXEC_SUMMARY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2026-06-30T08:29:21Z</dcterms:modified>
</cp:coreProperties>
</file>