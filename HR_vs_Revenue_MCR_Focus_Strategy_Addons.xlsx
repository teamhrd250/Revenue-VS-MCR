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75eb2cdc5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b5d9529ba14a3d"/>
    <x:sheet xmlns:r="http://schemas.openxmlformats.org/officeDocument/2006/relationships" name="PARAMETERS" sheetId="2" r:id="Ra0df91ac49454da5"/>
    <x:sheet xmlns:r="http://schemas.openxmlformats.org/officeDocument/2006/relationships" name="TARGETS" sheetId="3" r:id="R644d29dbc4414cbb"/>
    <x:sheet xmlns:r="http://schemas.openxmlformats.org/officeDocument/2006/relationships" name="FJA_MAPPING" sheetId="4" r:id="R27917b94ac824da4"/>
    <x:sheet xmlns:r="http://schemas.openxmlformats.org/officeDocument/2006/relationships" name="DIM_DEPARTMENT" sheetId="5" r:id="R411a0b7cca894e23"/>
    <x:sheet xmlns:r="http://schemas.openxmlformats.org/officeDocument/2006/relationships" name="DIM_EMPLOYEE" sheetId="6" r:id="Rc894b65ee6b34251"/>
    <x:sheet xmlns:r="http://schemas.openxmlformats.org/officeDocument/2006/relationships" name="REVENUE_YR" sheetId="7" r:id="Rca91ed8df8d340f4"/>
    <x:sheet xmlns:r="http://schemas.openxmlformats.org/officeDocument/2006/relationships" name="REVENUE_BY_DEPT" sheetId="8" r:id="R6e03ffb24eec4d2c"/>
    <x:sheet xmlns:r="http://schemas.openxmlformats.org/officeDocument/2006/relationships" name="HEADCOUNT_YR" sheetId="9" r:id="R6285356091af4816"/>
    <x:sheet xmlns:r="http://schemas.openxmlformats.org/officeDocument/2006/relationships" name="PAYROLL_YR" sheetId="10" r:id="R83fbc10ef2b0436b"/>
    <x:sheet xmlns:r="http://schemas.openxmlformats.org/officeDocument/2006/relationships" name="HC_MOVEMENT" sheetId="11" r:id="R8383c55662344b75"/>
    <x:sheet xmlns:r="http://schemas.openxmlformats.org/officeDocument/2006/relationships" name="PROJECT_MARGIN" sheetId="12" r:id="Rc7c2a30d216245c2"/>
    <x:sheet xmlns:r="http://schemas.openxmlformats.org/officeDocument/2006/relationships" name="CAPACITY_INDICATOR" sheetId="13" r:id="Re12af1746f194f8b"/>
    <x:sheet xmlns:r="http://schemas.openxmlformats.org/officeDocument/2006/relationships" name="EXEC_SUMMARY" sheetId="14" r:id="Rc0abfe9d78a34866"/>
    <x:sheet xmlns:r="http://schemas.openxmlformats.org/officeDocument/2006/relationships" name="CALENDAR" sheetId="15" r:id="Rc5752b2678664e1f"/>
    <x:sheet xmlns:r="http://schemas.openxmlformats.org/officeDocument/2006/relationships" name="PRESENTATION_GUIDE" sheetId="16" r:id="R70ac223aa9e84992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<x:sst xmlns:x="http://schemas.openxmlformats.org/spreadsheetml/2006/main">
  <x:si>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</x:si>
  <x:si>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</x:si>
  <x:si>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</x:si>
  <x:si>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</x:si>
  <x:si>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</x:si>
  <x:si>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</x:si>
  <x:si>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</x:si>
  <x:si>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</x:si>
  <x:si>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</x:si>
  <x:si>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</x:si>
  <x:si>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</x:si>
  <x:si>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</x:si>
  <x:si>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</x:si>
  <x:si>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</x:si>
  <x:si>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</x:si>
  <x:si>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</x:si>
  <x:si>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</x:si>
  <x:si>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</x:si>
  <x:si>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</x:si>
  <x:si>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</x:si>
  <x:si>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</x:si>
  <x:si>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</x:si>
  <x:si>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</x:si>
  <x:si>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</x:si>
  <x:si>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</x:si>
  <x:si>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</x:si>
  <x:si>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</x:si>
  <x:si>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</x:si>
  <x:si>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</x:si>
  <x:si>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</x:si>
  <x:si>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</x:si>
  <x:si>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</x:si>
  <x:si>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</x:si>
  <x:si>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</x:si>
  <x:si>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</x:si>
  <x:si>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</x:si>
  <x:si>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</x:si>
  <x:si>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</x:si>
  <x:si>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</x:si>
  <x:si>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</x:si>
  <x:si>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</x:si>
  <x:si>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</x:si>
  <x:si>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</x:si>
  <x:si>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</x:si>
  <x:si>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</x:si>
  <x:si>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</x:si>
  <x:si>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</x:si>
  <x:si>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</x:si>
  <x:si>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</x:si>
  <x:si>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</x:si>
  <x:si>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</x:si>
  <x:si>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</x:si>
  <x:si>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</x:si>
  <x:si>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</x:si>
  <x:si>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</x:si>
  <x:si>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</x:si>
  <x:si>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</x:si>
  <x:si>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</x:si>
  <x:si>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</x:si>
  <x:si>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</x:si>
  <x:si>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</x:si>
  <x:si>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</x:si>
  <x:si>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</x:si>
  <x:si>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</x:si>
  <x:si>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</x:si>
  <x:si>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</x:si>
  <x:si>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</x:si>
  <x:si>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</x:si>
  <x:si>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</x:si>
  <x:si>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</x:si>
  <x:si>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</x:si>
  <x:si>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</x:si>
  <x:si>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</x:si>
  <x:si>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</x:si>
  <x:si>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</x:si>
  <x:si>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</x:si>
  <x:si>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</x:si>
  <x:si>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</x:si>
  <x:si>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</x:si>
  <x:si>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</x:si>
  <x:si>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</x:si>
  <x:si>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</x:si>
  <x:si>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</x:si>
  <x:si>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</x:si>
  <x:si>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</x:si>
  <x:si>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</x:si>
  <x:si>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</x:si>
  <x:si>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</x:si>
  <x:si>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</x:si>
  <x:si>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</x:si>
  <x:si>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</x:si>
  <x:si>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</x:si>
  <x:si>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</x:si>
  <x:si>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</x:si>
  <x:si>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</x:si>
  <x:si>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</x:si>
  <x:si>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</x:si>
  <x:si>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</x:si>
  <x:si>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</x:si>
  <x:si>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</x:si>
  <x:si>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</x:si>
  <x:si>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</x:si>
  <x:si>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</x:si>
  <x:si>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</x:si>
  <x:si>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</x:si>
  <x:si>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</x:si>
  <x:si>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</x:si>
  <x:si>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</x:si>
  <x:si>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</x:si>
  <x:si>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</x:si>
  <x:si>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</x:si>
  <x:si>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</x:si>
  <x:si>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</x:si>
  <x:si>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</x:si>
  <x:si>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</x:si>
  <x:si>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</x:si>
  <x:si>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</x:si>
  <x:si>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</x:si>
  <x:si>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</x:si>
  <x:si>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</x:si>
  <x:si>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</x:si>
  <x:si>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</x:si>
  <x:si>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</x:si>
  <x:si>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</x:si>
  <x:si>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</x:si>
  <x:si>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</x:si>
  <x:si>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</x:si>
  <x:si>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</x:si>
  <x:si>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</x:si>
  <x:si>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</x:si>
  <x:si>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</x:si>
  <x:si>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</x:si>
  <x:si>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</x:si>
  <x:si>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</x:si>
  <x:si>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</x:si>
  <x:si>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</x:si>
  <x:si>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</x:si>
  <x:si>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</x:si>
  <x:si>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</x:si>
  <x:si>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</x:si>
  <x:si>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</x:si>
  <x:si>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</x:si>
  <x:si>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</x:si>
  <x:si>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</x:si>
  <x:si>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</x:si>
  <x:si>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</x:si>
  <x:si>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</x:si>
  <x:si>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</x:si>
  <x:si>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</x:si>
  <x:si>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</x:si>
  <x:si>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</x:si>
  <x:si>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</x:si>
  <x:si>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</x:si>
  <x:si>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</x:si>
  <x:si>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</x:si>
  <x:si>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</x:si>
  <x:si>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</x:si>
  <x:si>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</x:si>
  <x:si>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</x:si>
  <x:si>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</x:si>
  <x:si>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</x:si>
  <x:si>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</x:si>
  <x:si>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</x:si>
  <x:si>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</x:si>
  <x:si>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</x:si>
  <x:si>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</x:si>
  <x:si>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</x:si>
  <x:si>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</x:si>
  <x:si>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</x:si>
  <x:si>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</x:si>
  <x:si>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</x:si>
  <x:si>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</x:si>
  <x:si>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</x:si>
  <x:si>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</x:si>
  <x:si>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</x:si>
  <x:si>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</x:si>
  <x:si>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</x:si>
  <x:si>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</x:si>
  <x:si>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</x:si>
  <x:si>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</x:si>
  <x:si>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</x:si>
  <x:si>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</x:si>
  <x:si>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</x:si>
  <x:si>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</x:si>
  <x:si>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</x:si>
  <x:si>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</x:si>
  <x:si>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</x:si>
  <x:si>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</x:si>
  <x:si>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</x:si>
  <x:si>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</x:si>
  <x:si>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</x:si>
  <x:si>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</x:si>
  <x:si>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</x:si>
  <x:si>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</x:si>
  <x:si>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</x:si>
  <x:si>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</x:si>
  <x:si>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</x:si>
  <x:si>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</x:si>
  <x:si>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</x:si>
  <x:si>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</x:si>
  <x:si>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</x:si>
  <x:si>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</x:si>
  <x:si>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</x:si>
  <x:si>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</x:si>
  <x:si>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</x:si>
  <x:si>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</x:si>
  <x:si>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</x:si>
  <x:si>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</x:si>
  <x:si>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</x:si>
  <x:si>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</x:si>
  <x:si>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</x:si>
  <x:si>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</x:si>
  <x:si>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</x:si>
  <x:si>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</x:si>
  <x:si>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</x:si>
  <x:si>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</x:si>
  <x:si>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</x:si>
  <x:si>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</x:si>
  <x:si>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</x:si>
  <x:si>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</x:si>
  <x:si>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</x:si>
  <x:si>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</x:si>
  <x:si>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</x:si>
  <x:si>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</x:si>
  <x:si>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</x:si>
  <x:si>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</x:si>
  <x:si>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</x:si>
  <x:si>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</x:si>
  <x:si>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</x:si>
  <x:si>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</x:si>
  <x:si>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</x:si>
  <x:si>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</x:si>
  <x:si>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</x:si>
  <x:si>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</x:si>
  <x:si>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</x:si>
  <x:si>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</x:si>
  <x:si>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</x:si>
  <x:si>
    <x:t xml:space="preserve">Executive KPI Preview (Excel-side, optional)</x:t>
  </x:si>
  <x:si>
    <x:t xml:space="preserve">Latest Year</x:t>
  </x:si>
  <x:si>
    <x:t xml:space="preserve">Total Revenue</x:t>
  </x:si>
  <x:si>
    <x:t xml:space="preserve">Total COGS</x:t>
  </x:si>
  <x:si>
    <x:t xml:space="preserve">Gross Margin</x:t>
  </x:si>
  <x:si>
    <x:t xml:space="preserve">Total Headcount</x:t>
  </x:si>
  <x:si>
    <x:t xml:space="preserve">Total Manpower Cost</x:t>
  </x:si>
  <x:si>
    <x:t xml:space="preserve">RPE</x:t>
  </x:si>
  <x:si>
    <x:t xml:space="preserve">MCR</x:t>
  </x:si>
  <x:si>
    <x:t xml:space="preserve">Business Posture Hint</x:t>
  </x:si>
  <x:si>
    <x:t xml:space="preserve">Margin Quality Hint</x:t>
  </x:si>
  <x:si>
    <x:t xml:space="preserve">Months_Closed</x:t>
  </x:si>
  <x:si>
    <x:t xml:space="preserve">Period_Type</x:t>
  </x:si>
  <x:si>
    <x:t xml:space="preserve">Period_Label</x:t>
  </x:si>
  <x:si>
    <x:t xml:space="preserve">Annualization_Factor</x:t>
  </x:si>
  <x:si>
    <x:t xml:space="preserve">Data_Confidence</x:t>
  </x:si>
  <x:si>
    <x:t xml:space="preserve">FY</x:t>
  </x:si>
  <x:si>
    <x:t xml:space="preserve">FY 2021</x:t>
  </x:si>
  <x:si>
    <x:t xml:space="preserve">Full year actual. Comparable with other FY periods.</x:t>
  </x:si>
  <x:si>
    <x:t xml:space="preserve">FY 2022</x:t>
  </x:si>
  <x:si>
    <x:t xml:space="preserve">FY 2023</x:t>
  </x:si>
  <x:si>
    <x:t xml:space="preserve">FY 2024</x:t>
  </x:si>
  <x:si>
    <x:t xml:space="preserve">YTD</x:t>
  </x:si>
  <x:si>
    <x:t xml:space="preserve">FY 2025</x:t>
  </x:si>
  <x:si>
    <x:t xml:space="preserve">YTD Jun 2026</x:t>
  </x:si>
  <x:si>
    <x:t xml:space="preserve">YTD actual. Use Annualized mode for fair directional comparison vs FY periods.</x:t>
  </x:si>
</x:sst>
</file>

<file path=xl/styles.xml><?xml version="1.0" encoding="utf-8"?>
<x:styleSheet xmlns:x="http://schemas.openxmlformats.org/spreadsheetml/2006/main">
  <x:numFmts count="5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48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41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4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14ef1d126467c" /><Relationship Type="http://schemas.openxmlformats.org/officeDocument/2006/relationships/theme" Target="/xl/theme/theme1.xml" Id="R5f88358a8db34b51" /><Relationship Type="http://schemas.openxmlformats.org/officeDocument/2006/relationships/sharedStrings" Target="/xl/sharedStrings.xml" Id="Rb1957bf9e84b4d08" /><Relationship Type="http://schemas.openxmlformats.org/officeDocument/2006/relationships/worksheet" Target="/xl/worksheets/sheet1.xml" Id="Rd0b5d9529ba14a3d" /><Relationship Type="http://schemas.openxmlformats.org/officeDocument/2006/relationships/worksheet" Target="/xl/worksheets/sheet2.xml" Id="Ra0df91ac49454da5" /><Relationship Type="http://schemas.openxmlformats.org/officeDocument/2006/relationships/worksheet" Target="/xl/worksheets/sheet3.xml" Id="R644d29dbc4414cbb" /><Relationship Type="http://schemas.openxmlformats.org/officeDocument/2006/relationships/worksheet" Target="/xl/worksheets/sheet4.xml" Id="R27917b94ac824da4" /><Relationship Type="http://schemas.openxmlformats.org/officeDocument/2006/relationships/worksheet" Target="/xl/worksheets/sheet5.xml" Id="R411a0b7cca894e23" /><Relationship Type="http://schemas.openxmlformats.org/officeDocument/2006/relationships/worksheet" Target="/xl/worksheets/sheet6.xml" Id="Rc894b65ee6b34251" /><Relationship Type="http://schemas.openxmlformats.org/officeDocument/2006/relationships/worksheet" Target="/xl/worksheets/sheet7.xml" Id="Rca91ed8df8d340f4" /><Relationship Type="http://schemas.openxmlformats.org/officeDocument/2006/relationships/worksheet" Target="/xl/worksheets/sheet8.xml" Id="R6e03ffb24eec4d2c" /><Relationship Type="http://schemas.openxmlformats.org/officeDocument/2006/relationships/worksheet" Target="/xl/worksheets/sheet9.xml" Id="R6285356091af4816" /><Relationship Type="http://schemas.openxmlformats.org/officeDocument/2006/relationships/worksheet" Target="/xl/worksheets/sheet10.xml" Id="R83fbc10ef2b0436b" /><Relationship Type="http://schemas.openxmlformats.org/officeDocument/2006/relationships/worksheet" Target="/xl/worksheets/sheet11.xml" Id="R8383c55662344b75" /><Relationship Type="http://schemas.openxmlformats.org/officeDocument/2006/relationships/worksheet" Target="/xl/worksheets/sheet12.xml" Id="Rc7c2a30d216245c2" /><Relationship Type="http://schemas.openxmlformats.org/officeDocument/2006/relationships/worksheet" Target="/xl/worksheets/sheet13.xml" Id="Re12af1746f194f8b" /><Relationship Type="http://schemas.openxmlformats.org/officeDocument/2006/relationships/worksheet" Target="/xl/worksheets/sheet14.xml" Id="Rc0abfe9d78a34866" /><Relationship Type="http://schemas.openxmlformats.org/officeDocument/2006/relationships/worksheet" Target="/xl/worksheets/sheet15.xml" Id="Rc5752b2678664e1f" /><Relationship Type="http://schemas.openxmlformats.org/officeDocument/2006/relationships/worksheet" Target="/xl/worksheets/sheet16.xml" Id="R70ac223aa9e84992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16e8994583141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53f87e7a0994b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fd6594957d645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475796d0f8644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193f50ad24445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e693dbb990547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b9c5f2dad8c45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bb42511101c44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18004e1cd841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c190ddb691c43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db08bf2c6314f0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29ec9c28bcca47d1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</x:row>
  </x:sheetData>
  <x:pageMargins left="0.7" right="0.7" top="0.75" bottom="0.75" header="0.3" footer="0.3"/>
  <x:tableParts count="1">
    <x:tablePart xmlns:r="http://schemas.openxmlformats.org/officeDocument/2006/relationships" r:id="R416e899458314111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953f87e7a0994bae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d6594957d6454e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75796d0f864431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20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  <x:row r="13">
      <x:c r="D13" s="20"/>
    </x:row>
  </x:sheetData>
  <x:pageMargins left="0.7" right="0.7" top="0.75" bottom="0.75" header="0.3" footer="0.3"/>
  <x:tableParts count="1">
    <x:tablePart xmlns:r="http://schemas.openxmlformats.org/officeDocument/2006/relationships" r:id="R6193f50ad24445d2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693dbb990547e7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db9c5f2dad8c456e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b42511101c4431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ec18004e1cd841fa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190ddb691c43ea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b08bf2c6314f08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8" customWidth="1"/>
    <x:col min="2" max="2" width="32" customWidth="1"/>
  </x:cols>
  <x:sheetData>
    <x:row r="1" ht="24" customHeight="1">
      <x:c r="A1" s="6" t="s">
        <x:v>237</x:v>
      </x:c>
    </x:row>
    <x:row r="3" ht="15">
      <x:c r="A3" s="3" t="s">
        <x:v>238</x:v>
      </x:c>
      <x:c r="B3" s="3">
        <x:v>2026</x:v>
      </x:c>
    </x:row>
    <x:row r="4">
      <x:c r="A4" s="2" t="s">
        <x:v>239</x:v>
      </x:c>
      <x:c r="B4" s="7" t="n">
        <x:f>SUMIFS(REVENUE_YR!C:C,REVENUE_YR!A:A,B3)</x:f>
        <x:v>20000000000</x:v>
      </x:c>
    </x:row>
    <x:row r="5">
      <x:c r="A5" s="2" t="s">
        <x:v>240</x:v>
      </x:c>
      <x:c r="B5" s="7" t="e">
        <x:f>SUMIFS(REVENUE_YR!D:D,REVENUE_YR!A:A,B3)</x:f>
      </x:c>
    </x:row>
    <x:row r="6">
      <x:c r="A6" s="2" t="s">
        <x:v>241</x:v>
      </x:c>
      <x:c r="B6" s="4" t="e">
        <x:f>IF(B4&gt;0,(B4-B5)/B4,"")</x:f>
      </x:c>
    </x:row>
    <x:row r="7">
      <x:c r="A7" s="2" t="s">
        <x:v>242</x:v>
      </x:c>
      <x:c r="B7" s="8" t="n">
        <x:f>SUMIFS(HEADCOUNT_YR!C:C,HEADCOUNT_YR!A:A,B3)</x:f>
        <x:v>71</x:v>
      </x:c>
    </x:row>
    <x:row r="8">
      <x:c r="A8" s="2" t="s">
        <x:v>243</x:v>
      </x:c>
      <x:c r="B8" s="7" t="n">
        <x:f>SUMIFS(PAYROLL_YR!H:H,PAYROLL_YR!A:A,B3)</x:f>
        <x:v>4577400159</x:v>
      </x:c>
    </x:row>
    <x:row r="9">
      <x:c r="A9" s="2" t="s">
        <x:v>244</x:v>
      </x:c>
      <x:c r="B9" s="7" t="n">
        <x:f>IF(B7&gt;0,B4/B7,"")</x:f>
        <x:v>281690140.8450704</x:v>
      </x:c>
    </x:row>
    <x:row r="10">
      <x:c r="A10" s="2" t="s">
        <x:v>245</x:v>
      </x:c>
      <x:c r="B10" s="4" t="n">
        <x:f>IF(B4&gt;0,B8/B4,"")</x:f>
        <x:v>0.22887000795</x:v>
      </x:c>
    </x:row>
    <x:row r="11" ht="15">
      <x:c r="A11" s="2" t="s">
        <x:v>246</x:v>
      </x:c>
      <x:c r="B11" s="9" t="str">
        <x:f>IF(B10&lt;=0.09,"HIGH_LEVERAGE/LOW COST BASE","REVIEW")</x:f>
        <x:v>REVIEW</x:v>
      </x:c>
    </x:row>
    <x:row r="12" ht="15">
      <x:c r="A12" s="2" t="s">
        <x:v>247</x:v>
      </x:c>
      <x:c r="B12" s="9" t="e">
        <x:f>IF(B6&gt;=0.35,"STRONG",IF(B6&gt;=0.25,"HEALTHY",IF(B6&gt;=0.15,"WATCH",IF(B6&gt;=0.1,"PRESSURE","CRITICAL"))))</x:f>
      </x:c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2" customWidth="1"/>
    <x:col min="2" max="2" width="18" customWidth="1"/>
    <x:col min="3" max="3" width="16" customWidth="1"/>
    <x:col min="4" max="4" width="20" customWidth="1"/>
    <x:col min="5" max="5" width="22" customWidth="1"/>
    <x:col min="6" max="6" width="18" customWidth="1"/>
    <x:col min="7" max="7" width="68" customWidth="1"/>
  </x:cols>
  <x:sheetData>
    <x:row r="1" ht="15">
      <x:c r="A1" s="16" t="s">
        <x:v>172</x:v>
      </x:c>
      <x:c r="B1" s="16" t="s">
        <x:v>248</x:v>
      </x:c>
      <x:c r="C1" s="16" t="s">
        <x:v>249</x:v>
      </x:c>
      <x:c r="D1" s="16" t="s">
        <x:v>250</x:v>
      </x:c>
      <x:c r="E1" s="17" t="s">
        <x:v>251</x:v>
      </x:c>
      <x:c r="F1" s="16" t="s">
        <x:v>252</x:v>
      </x:c>
      <x:c r="G1" s="16" t="s">
        <x:v>50</x:v>
      </x:c>
    </x:row>
    <x:row r="2">
      <x:c r="A2" s="14">
        <x:v>2021</x:v>
      </x:c>
      <x:c r="B2" s="14">
        <x:v>12</x:v>
      </x:c>
      <x:c r="C2" s="14" t="s">
        <x:v>253</x:v>
      </x:c>
      <x:c r="D2" s="14" t="s">
        <x:v>254</x:v>
      </x:c>
      <x:c r="E2" s="14" t="n">
        <x:f t="shared" ref="E2:E5" si="0">IF(B2&gt;0,12/B2,"")</x:f>
        <x:v>1</x:v>
      </x:c>
      <x:c r="F2" s="14" t="s">
        <x:v>235</x:v>
      </x:c>
      <x:c r="G2" s="14" t="s">
        <x:v>255</x:v>
      </x:c>
    </x:row>
    <x:row r="3">
      <x:c r="A3" s="14">
        <x:v>2022</x:v>
      </x:c>
      <x:c r="B3" s="14">
        <x:v>12</x:v>
      </x:c>
      <x:c r="C3" s="14" t="s">
        <x:v>253</x:v>
      </x:c>
      <x:c r="D3" s="14" t="s">
        <x:v>256</x:v>
      </x:c>
      <x:c r="E3" s="14">
        <x:f t="shared" si="0"/>
        <x:v>1</x:v>
      </x:c>
      <x:c r="F3" s="14" t="s">
        <x:v>235</x:v>
      </x:c>
      <x:c r="G3" s="14" t="s">
        <x:v>255</x:v>
      </x:c>
    </x:row>
    <x:row r="4">
      <x:c r="A4" s="14">
        <x:v>2023</x:v>
      </x:c>
      <x:c r="B4" s="14">
        <x:v>12</x:v>
      </x:c>
      <x:c r="C4" s="14" t="s">
        <x:v>253</x:v>
      </x:c>
      <x:c r="D4" s="14" t="s">
        <x:v>257</x:v>
      </x:c>
      <x:c r="E4" s="14">
        <x:f t="shared" si="0"/>
        <x:v>1</x:v>
      </x:c>
      <x:c r="F4" s="14" t="s">
        <x:v>235</x:v>
      </x:c>
      <x:c r="G4" s="14" t="s">
        <x:v>255</x:v>
      </x:c>
    </x:row>
    <x:row r="5">
      <x:c r="A5" s="14">
        <x:v>2024</x:v>
      </x:c>
      <x:c r="B5" s="14">
        <x:v>12</x:v>
      </x:c>
      <x:c r="C5" s="14" t="s">
        <x:v>253</x:v>
      </x:c>
      <x:c r="D5" s="14" t="s">
        <x:v>258</x:v>
      </x:c>
      <x:c r="E5" s="14">
        <x:f t="shared" si="0"/>
        <x:v>1</x:v>
      </x:c>
      <x:c r="F5" s="14" t="s">
        <x:v>235</x:v>
      </x:c>
      <x:c r="G5" s="14" t="s">
        <x:v>255</x:v>
      </x:c>
    </x:row>
    <x:row r="6">
      <x:c r="A6" s="14">
        <x:v>2025</x:v>
      </x:c>
      <x:c r="B6" s="14">
        <x:v>12</x:v>
      </x:c>
      <x:c r="C6" s="14" t="s">
        <x:v>259</x:v>
      </x:c>
      <x:c r="D6" s="14" t="s">
        <x:v>260</x:v>
      </x:c>
      <x:c r="E6" s="14">
        <x:v>2</x:v>
      </x:c>
      <x:c r="F6" s="14" t="s">
        <x:v>235</x:v>
      </x:c>
      <x:c r="G6" s="14" t="s">
        <x:v>255</x:v>
      </x:c>
    </x:row>
    <x:row r="7">
      <x:c r="A7" s="14">
        <x:v>2026</x:v>
      </x:c>
      <x:c r="B7" s="14">
        <x:v>6</x:v>
      </x:c>
      <x:c r="C7" s="14" t="s">
        <x:v>259</x:v>
      </x:c>
      <x:c r="D7" s="14" t="s">
        <x:v>261</x:v>
      </x:c>
      <x:c r="E7" s="14">
        <x:v>3</x:v>
      </x:c>
      <x:c r="F7" s="14" t="s">
        <x:v>234</x:v>
      </x:c>
      <x:c r="G7" s="14" t="s">
        <x:v>262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ec9c28bcca47d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6" hidden="0" customWidth="1"/>
    <x:col min="4" max="4" width="44" hidden="0" customWidth="1"/>
  </x:cols>
  <x:sheetData>
    <x:row r="1">
      <x:c r="A1" s="41" t="str">
        <x:v>Section</x:v>
      </x:c>
      <x:c r="B1" s="41" t="str">
        <x:v>Purpose</x:v>
      </x:c>
      <x:c r="C1" s="41" t="str">
        <x:v>How to Present</x:v>
      </x:c>
      <x:c r="D1" s="41" t="str">
        <x:v>Board Question Answered</x:v>
      </x:c>
    </x:row>
    <x:row r="2">
      <x:c r="A2" s="47" t="str">
        <x:v>Management Insight Engine</x:v>
      </x:c>
      <x:c r="B2" s="47" t="str">
        <x:v>Menjelaskan mengapa KPI berubah.</x:v>
      </x:c>
      <x:c r="C2" s="47" t="str">
        <x:v>Bacakan 2-3 insight utama: revenue vs HC, MCR vs capacity, margin quality.</x:v>
      </x:c>
      <x:c r="D2" s="47" t="str">
        <x:v>Kenapa angka bergerak seperti ini?</x:v>
      </x:c>
    </x:row>
    <x:row r="3">
      <x:c r="A3" s="47" t="str">
        <x:v>Hiring Decision Engine</x:v>
      </x:c>
      <x:c r="B3" s="47" t="str">
        <x:v>Memberi rekomendasi Hire/Hold/Freeze per department.</x:v>
      </x:c>
      <x:c r="C3" s="47" t="str">
        <x:v>Tunjukkan fungsi yang direkomendasikan HIRE dan alasan bottleneck-nya.</x:v>
      </x:c>
      <x:c r="D3" s="47" t="str">
        <x:v>Apakah kita perlu tambah orang? Di fungsi mana?</x:v>
      </x:c>
    </x:row>
    <x:row r="4">
      <x:c r="A4" s="47" t="str">
        <x:v>Scenario Simulator Plus</x:v>
      </x:c>
      <x:c r="B4" s="47" t="str">
        <x:v>Menghitung dampak tambahan HC dan revenue growth terhadap MCR/RPE.</x:v>
      </x:c>
      <x:c r="C4" s="47" t="str">
        <x:v>Gunakan slider untuk simulasi keputusan hiring sebelum disetujui.</x:v>
      </x:c>
      <x:c r="D4" s="47" t="str">
        <x:v>Kalau tambah orang, MCR jadi berapa?</x:v>
      </x:c>
    </x:row>
    <x:row r="5">
      <x:c r="A5" s="47" t="str">
        <x:v>CEO One-Page</x:v>
      </x:c>
      <x:c r="B5" s="47" t="str">
        <x:v>Ringkasan satu halaman untuk CEO/Direksi.</x:v>
      </x:c>
      <x:c r="C5" s="47" t="str">
        <x:v>Gunakan sebagai slide pembuka/penutup.</x:v>
      </x:c>
      <x:c r="D5" s="47" t="str">
        <x:v>Apa kondisi perusahaan secara cepat?</x:v>
      </x:c>
    </x:row>
    <x:row r="6">
      <x:c r="A6" s="47" t="str">
        <x:v>12-Month Roadmap</x:v>
      </x:c>
      <x:c r="B6" s="47" t="str">
        <x:v>Prioritas aksi 0-3, 3-6, dan 6-12 bulan.</x:v>
      </x:c>
      <x:c r="C6" s="47" t="str">
        <x:v>Jadikan rencana tindak lanjut setelah presentasi.</x:v>
      </x:c>
      <x:c r="D6" s="47" t="str">
        <x:v>Apa yang harus dilakukan 12 bulan ke depan?</x:v>
      </x:c>
    </x:row>
    <x:row r="7">
      <x:c r="A7" s="47" t="str">
        <x:v>Executive Closing Report</x:v>
      </x:c>
      <x:c r="B7" s="47" t="str">
        <x:v>Kesimpulan akhir siap dibacakan.</x:v>
      </x:c>
      <x:c r="C7" s="47" t="str">
        <x:v>Baca sebagai closing statement rapat.</x:v>
      </x:c>
      <x:c r="D7" s="47" t="str">
        <x:v>Keputusan akhir apa yang direkomendasikan?</x:v>
      </x:c>
    </x:row>
    <x:row r="8">
      <x:c r="A8" s="47" t="str"/>
      <x:c r="B8" s="47" t="str"/>
      <x:c r="C8" s="47" t="str"/>
      <x:c r="D8" s="47" t="str"/>
    </x:row>
    <x:row r="9">
      <x:c r="A9" s="41" t="str">
        <x:v>Input/Data yang Mempengaruhi Engine</x:v>
      </x:c>
      <x:c r="B9" s="41" t="str">
        <x:v>Sheet</x:v>
      </x:c>
      <x:c r="C9" s="41" t="str">
        <x:v>Kolom Penting</x:v>
      </x:c>
      <x:c r="D9" s="41" t="str">
        <x:v>Catatan</x:v>
      </x:c>
    </x:row>
    <x:row r="10">
      <x:c r="A10" s="47" t="str">
        <x:v>Capacity Risk</x:v>
      </x:c>
      <x:c r="B10" s="47" t="str">
        <x:v>CAPACITY_INDICATOR</x:v>
      </x:c>
      <x:c r="C10" s="47" t="str">
        <x:v>Avg_Utilization_Pct, Overtime_Hours, Backlog_Count, SLA_Breach_Count</x:v>
      </x:c>
      <x:c r="D10" s="47" t="str">
        <x:v>Semakin lengkap data ini, semakin akurat Hiring Decision.</x:v>
      </x:c>
    </x:row>
    <x:row r="11">
      <x:c r="A11" s="47" t="str">
        <x:v>Department Productivity</x:v>
      </x:c>
      <x:c r="B11" s="47" t="str">
        <x:v>REVENUE_BY_DEPT + PAYROLL_YR + HEADCOUNT_YR</x:v>
      </x:c>
      <x:c r="C11" s="47" t="str">
        <x:v>Dept_Revenue, Manpower_Cost, Headcount</x:v>
      </x:c>
      <x:c r="D11" s="47" t="str">
        <x:v>Jika REVENUE_BY_DEPT kosong, rekomendasi memakai sinyal capacity/headcount.</x:v>
      </x:c>
    </x:row>
    <x:row r="12">
      <x:c r="A12" s="47" t="str">
        <x:v>MCR Guardrail</x:v>
      </x:c>
      <x:c r="B12" s="47" t="str">
        <x:v>TARGETS</x:v>
      </x:c>
      <x:c r="C12" s="47" t="str">
        <x:v>MCR_Healthy_Max</x:v>
      </x:c>
      <x:c r="D12" s="47" t="str">
        <x:v>Default healthy max 7%.</x:v>
      </x:c>
    </x:row>
    <x:row r="13">
      <x:c r="A13" s="47" t="str">
        <x:v>Scenario Simulator</x:v>
      </x:c>
      <x:c r="B13" s="47" t="str">
        <x:v>PAYROLL_YR + HEADCOUNT_YR</x:v>
      </x:c>
      <x:c r="C13" s="47" t="str">
        <x:v>Cost_per_HC, Total_Manpower_Cost</x:v>
      </x:c>
      <x:c r="D13" s="47" t="str">
        <x:v>Avg cost dapat diubah manual di dashboard.</x:v>
      </x:c>
    </x:row>
  </x:sheetData>
  <x:pageMargins left="0.7" right="0.7" top="0.75" bottom="0.75" header="0.3" footer="0.3"/>
</x:worksheet>
</file>