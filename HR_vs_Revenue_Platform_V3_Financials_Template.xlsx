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ce1a25eb2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6b98fa821e429a"/>
    <x:sheet xmlns:r="http://schemas.openxmlformats.org/officeDocument/2006/relationships" name="PARAMETERS" sheetId="2" r:id="R1f398957e7434b98"/>
    <x:sheet xmlns:r="http://schemas.openxmlformats.org/officeDocument/2006/relationships" name="TARGETS" sheetId="3" r:id="R516bae5088c940c6"/>
    <x:sheet xmlns:r="http://schemas.openxmlformats.org/officeDocument/2006/relationships" name="FJA_MAPPING" sheetId="4" r:id="R90aab6df48844bef"/>
    <x:sheet xmlns:r="http://schemas.openxmlformats.org/officeDocument/2006/relationships" name="DIM_DEPARTMENT" sheetId="5" r:id="R8eca632ba5634256"/>
    <x:sheet xmlns:r="http://schemas.openxmlformats.org/officeDocument/2006/relationships" name="DIM_EMPLOYEE" sheetId="6" r:id="R3e48b2e5961548d0"/>
    <x:sheet xmlns:r="http://schemas.openxmlformats.org/officeDocument/2006/relationships" name="REVENUE_YR" sheetId="7" r:id="Ref32100fb5d04dff"/>
    <x:sheet xmlns:r="http://schemas.openxmlformats.org/officeDocument/2006/relationships" name="REVENUE_BY_DEPT" sheetId="8" r:id="R08d8697d5cad4fa0"/>
    <x:sheet xmlns:r="http://schemas.openxmlformats.org/officeDocument/2006/relationships" name="HEADCOUNT_YR" sheetId="9" r:id="R7c442fd95a354933"/>
    <x:sheet xmlns:r="http://schemas.openxmlformats.org/officeDocument/2006/relationships" name="PAYROLL_YR" sheetId="10" r:id="Rb03919ef8f334a63"/>
    <x:sheet xmlns:r="http://schemas.openxmlformats.org/officeDocument/2006/relationships" name="HC_MOVEMENT" sheetId="11" r:id="R1501da798f204d6b"/>
    <x:sheet xmlns:r="http://schemas.openxmlformats.org/officeDocument/2006/relationships" name="PROJECT_MARGIN" sheetId="12" r:id="Ra08a78ef5d624d28"/>
    <x:sheet xmlns:r="http://schemas.openxmlformats.org/officeDocument/2006/relationships" name="CAPACITY_INDICATOR" sheetId="13" r:id="R668ef22b66c14f5a"/>
    <x:sheet xmlns:r="http://schemas.openxmlformats.org/officeDocument/2006/relationships" name="EXEC_SUMMARY" sheetId="14" r:id="R7588f3e2dec649ad"/>
    <x:sheet xmlns:r="http://schemas.openxmlformats.org/officeDocument/2006/relationships" name="CALENDAR" sheetId="15" r:id="R929baca54d0a4f89"/>
    <x:sheet xmlns:r="http://schemas.openxmlformats.org/officeDocument/2006/relationships" name="FINANCIALS" sheetId="16" r:id="R15bc4c30936c43a4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<x:sst xmlns:x="http://schemas.openxmlformats.org/spreadsheetml/2006/main">
  <x:si>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</x:si>
  <x:si>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</x:si>
  <x:si>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</x:si>
  <x:si>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</x:si>
  <x:si>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</x:si>
  <x:si>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</x:si>
  <x:si>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</x:si>
  <x:si>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</x:si>
  <x:si>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</x:si>
  <x:si>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</x:si>
  <x:si>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</x:si>
  <x:si>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</x:si>
  <x:si>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</x:si>
  <x:si>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</x:si>
  <x:si>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</x:si>
  <x:si>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</x:si>
  <x:si>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</x:si>
  <x:si>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</x:si>
  <x:si>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</x:si>
  <x:si>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</x:si>
  <x:si>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</x:si>
  <x:si>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</x:si>
  <x:si>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</x:si>
  <x:si>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</x:si>
  <x:si>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</x:si>
  <x:si>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</x:si>
  <x:si>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</x:si>
  <x:si>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</x:si>
  <x:si>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</x:si>
  <x:si>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</x:si>
  <x:si>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</x:si>
  <x:si>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</x:si>
  <x:si>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</x:si>
  <x:si>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</x:si>
  <x:si>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</x:si>
  <x:si>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</x:si>
  <x:si>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</x:si>
  <x:si>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</x:si>
  <x:si>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</x:si>
  <x:si>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</x:si>
  <x:si>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</x:si>
  <x:si>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</x:si>
  <x:si>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</x:si>
  <x:si>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</x:si>
  <x:si>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</x:si>
  <x:si>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</x:si>
  <x:si>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</x:si>
  <x:si>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</x:si>
  <x:si>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</x:si>
  <x:si>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</x:si>
  <x:si>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</x:si>
  <x:si>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</x:si>
  <x:si>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</x:si>
  <x:si>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</x:si>
  <x:si>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</x:si>
  <x:si>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</x:si>
  <x:si>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</x:si>
  <x:si>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</x:si>
  <x:si>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</x:si>
  <x:si>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</x:si>
  <x:si>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</x:si>
  <x:si>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</x:si>
  <x:si>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</x:si>
  <x:si>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</x:si>
  <x:si>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</x:si>
  <x:si>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</x:si>
  <x:si>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</x:si>
  <x:si>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</x:si>
  <x:si>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</x:si>
  <x:si>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</x:si>
  <x:si>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</x:si>
  <x:si>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</x:si>
  <x:si>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</x:si>
  <x:si>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</x:si>
  <x:si>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</x:si>
  <x:si>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</x:si>
  <x:si>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</x:si>
  <x:si>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</x:si>
  <x:si>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</x:si>
  <x:si>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</x:si>
  <x:si>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</x:si>
  <x:si>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</x:si>
  <x:si>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</x:si>
  <x:si>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</x:si>
  <x:si>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</x:si>
  <x:si>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</x:si>
  <x:si>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</x:si>
  <x:si>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</x:si>
  <x:si>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</x:si>
  <x:si>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</x:si>
  <x:si>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</x:si>
  <x:si>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</x:si>
  <x:si>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</x:si>
  <x:si>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</x:si>
  <x:si>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</x:si>
  <x:si>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</x:si>
  <x:si>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</x:si>
  <x:si>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</x:si>
  <x:si>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</x:si>
  <x:si>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</x:si>
  <x:si>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</x:si>
  <x:si>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</x:si>
  <x:si>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</x:si>
  <x:si>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</x:si>
  <x:si>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</x:si>
  <x:si>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</x:si>
  <x:si>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</x:si>
  <x:si>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</x:si>
  <x:si>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</x:si>
  <x:si>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</x:si>
  <x:si>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</x:si>
  <x:si>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</x:si>
  <x:si>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</x:si>
  <x:si>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</x:si>
  <x:si>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</x:si>
  <x:si>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</x:si>
  <x:si>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</x:si>
  <x:si>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</x:si>
  <x:si>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</x:si>
  <x:si>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</x:si>
  <x:si>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</x:si>
  <x:si>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</x:si>
  <x:si>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</x:si>
  <x:si>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</x:si>
  <x:si>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</x:si>
  <x:si>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</x:si>
  <x:si>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</x:si>
  <x:si>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</x:si>
  <x:si>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</x:si>
  <x:si>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</x:si>
  <x:si>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</x:si>
  <x:si>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</x:si>
  <x:si>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</x:si>
  <x:si>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</x:si>
  <x:si>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</x:si>
  <x:si>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</x:si>
  <x:si>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</x:si>
  <x:si>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</x:si>
  <x:si>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</x:si>
  <x:si>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</x:si>
  <x:si>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</x:si>
  <x:si>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</x:si>
  <x:si>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</x:si>
  <x:si>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</x:si>
  <x:si>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</x:si>
  <x:si>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</x:si>
  <x:si>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</x:si>
  <x:si>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</x:si>
  <x:si>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</x:si>
  <x:si>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</x:si>
  <x:si>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</x:si>
  <x:si>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</x:si>
  <x:si>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</x:si>
  <x:si>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</x:si>
  <x:si>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</x:si>
  <x:si>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</x:si>
  <x:si>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</x:si>
  <x:si>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</x:si>
  <x:si>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</x:si>
  <x:si>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</x:si>
  <x:si>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</x:si>
  <x:si>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</x:si>
  <x:si>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</x:si>
  <x:si>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</x:si>
  <x:si>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</x:si>
  <x:si>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</x:si>
  <x:si>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</x:si>
  <x:si>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</x:si>
  <x:si>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</x:si>
  <x:si>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</x:si>
  <x:si>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</x:si>
  <x:si>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</x:si>
  <x:si>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</x:si>
  <x:si>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</x:si>
  <x:si>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</x:si>
  <x:si>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</x:si>
  <x:si>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</x:si>
  <x:si>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</x:si>
  <x:si>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</x:si>
  <x:si>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</x:si>
  <x:si>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</x:si>
  <x:si>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</x:si>
  <x:si>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</x:si>
  <x:si>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</x:si>
  <x:si>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</x:si>
  <x:si>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</x:si>
  <x:si>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</x:si>
  <x:si>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</x:si>
  <x:si>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</x:si>
  <x:si>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</x:si>
  <x:si>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</x:si>
  <x:si>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</x:si>
  <x:si>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</x:si>
  <x:si>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</x:si>
  <x:si>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</x:si>
  <x:si>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</x:si>
  <x:si>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</x:si>
  <x:si>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</x:si>
  <x:si>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</x:si>
  <x:si>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</x:si>
  <x:si>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</x:si>
  <x:si>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</x:si>
  <x:si>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</x:si>
  <x:si>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</x:si>
  <x:si>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</x:si>
  <x:si>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</x:si>
  <x:si>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</x:si>
  <x:si>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</x:si>
  <x:si>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</x:si>
  <x:si>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</x:si>
  <x:si>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</x:si>
  <x:si>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</x:si>
  <x:si>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</x:si>
  <x:si>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</x:si>
  <x:si>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</x:si>
  <x:si>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</x:si>
  <x:si>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</x:si>
  <x:si>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</x:si>
  <x:si>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</x:si>
  <x:si>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</x:si>
  <x:si>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</x:si>
  <x:si>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</x:si>
  <x:si>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</x:si>
  <x:si>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</x:si>
  <x:si>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</x:si>
  <x:si>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</x:si>
  <x:si>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</x:si>
  <x:si>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</x:si>
  <x:si>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</x:si>
  <x:si>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</x:si>
  <x:si>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</x:si>
  <x:si>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</x:si>
  <x:si>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</x:si>
  <x:si>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</x:si>
  <x:si>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</x:si>
  <x:si>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</x:si>
  <x:si>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</x:si>
  <x:si>
    <x:t xml:space="preserve">Executive KPI Preview (Excel-side, optional)</x:t>
  </x:si>
  <x:si>
    <x:t xml:space="preserve">Latest Year</x:t>
  </x:si>
  <x:si>
    <x:t xml:space="preserve">Total Revenue</x:t>
  </x:si>
  <x:si>
    <x:t xml:space="preserve">Total COGS</x:t>
  </x:si>
  <x:si>
    <x:t xml:space="preserve">Gross Margin</x:t>
  </x:si>
  <x:si>
    <x:t xml:space="preserve">Total Headcount</x:t>
  </x:si>
  <x:si>
    <x:t xml:space="preserve">Total Manpower Cost</x:t>
  </x:si>
  <x:si>
    <x:t xml:space="preserve">RPE</x:t>
  </x:si>
  <x:si>
    <x:t xml:space="preserve">MCR</x:t>
  </x:si>
  <x:si>
    <x:t xml:space="preserve">Business Posture Hint</x:t>
  </x:si>
  <x:si>
    <x:t xml:space="preserve">Margin Quality Hint</x:t>
  </x:si>
  <x:si>
    <x:t xml:space="preserve">Months_Closed</x:t>
  </x:si>
  <x:si>
    <x:t xml:space="preserve">Period_Type</x:t>
  </x:si>
  <x:si>
    <x:t xml:space="preserve">Period_Label</x:t>
  </x:si>
  <x:si>
    <x:t xml:space="preserve">Annualization_Factor</x:t>
  </x:si>
  <x:si>
    <x:t xml:space="preserve">Data_Confidence</x:t>
  </x:si>
  <x:si>
    <x:t xml:space="preserve">FY</x:t>
  </x:si>
  <x:si>
    <x:t xml:space="preserve">FY 2021</x:t>
  </x:si>
  <x:si>
    <x:t xml:space="preserve">Full year actual. Comparable with other FY periods.</x:t>
  </x:si>
  <x:si>
    <x:t xml:space="preserve">FY 2022</x:t>
  </x:si>
  <x:si>
    <x:t xml:space="preserve">FY 2023</x:t>
  </x:si>
  <x:si>
    <x:t xml:space="preserve">FY 2024</x:t>
  </x:si>
  <x:si>
    <x:t xml:space="preserve">FY 2025</x:t>
  </x:si>
  <x:si>
    <x:t xml:space="preserve">YTD</x:t>
  </x:si>
  <x:si>
    <x:t xml:space="preserve">YTD Jun 2026</x:t>
  </x:si>
  <x:si>
    <x:t xml:space="preserve">YTD actual. Use Annualized mode for fair directional comparison vs FY periods.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</x:si>
</x:sst>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  <x:font>
      <x:b/>
      <x:sz val="11"/>
      <x:color rgb="FF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78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7" borderId="0" xfId="0" applyNumberFormat="1" applyFont="1" applyFill="1" applyBorder="1" applyAlignment="1">
      <x:alignment horizontal="center"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164" fontId="2" fillId="7" borderId="0" xfId="0" applyNumberFormat="1" applyFont="1" applyFill="1" applyBorder="1" applyAlignment="1">
      <x:alignment horizontal="center" vertical="center" wrapText="1"/>
    </x:xf>
    <x:xf numFmtId="164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164" fontId="4" fillId="9" borderId="0" xfId="0" applyNumberFormat="1" applyFont="1" applyFill="1" applyBorder="1"/>
    <x:xf numFmtId="164" fontId="0" fillId="0" borderId="0" xfId="0" applyNumberFormat="1" applyFont="1" applyFill="1" applyBorder="1"/>
    <x:xf numFmtId="164" fontId="4" fillId="9" borderId="1" xfId="0" applyNumberFormat="1" applyFont="1" applyFill="1" applyBorder="1"/>
    <x:xf numFmtId="164" fontId="0" fillId="0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8940e613042df" /><Relationship Type="http://schemas.openxmlformats.org/officeDocument/2006/relationships/theme" Target="/xl/theme/theme1.xml" Id="R4b83bae18dfc44e6" /><Relationship Type="http://schemas.openxmlformats.org/officeDocument/2006/relationships/sharedStrings" Target="/xl/sharedStrings.xml" Id="Rce85f3aeaafe4490" /><Relationship Type="http://schemas.openxmlformats.org/officeDocument/2006/relationships/worksheet" Target="/xl/worksheets/sheet1.xml" Id="R996b98fa821e429a" /><Relationship Type="http://schemas.openxmlformats.org/officeDocument/2006/relationships/worksheet" Target="/xl/worksheets/sheet2.xml" Id="R1f398957e7434b98" /><Relationship Type="http://schemas.openxmlformats.org/officeDocument/2006/relationships/worksheet" Target="/xl/worksheets/sheet3.xml" Id="R516bae5088c940c6" /><Relationship Type="http://schemas.openxmlformats.org/officeDocument/2006/relationships/worksheet" Target="/xl/worksheets/sheet4.xml" Id="R90aab6df48844bef" /><Relationship Type="http://schemas.openxmlformats.org/officeDocument/2006/relationships/worksheet" Target="/xl/worksheets/sheet5.xml" Id="R8eca632ba5634256" /><Relationship Type="http://schemas.openxmlformats.org/officeDocument/2006/relationships/worksheet" Target="/xl/worksheets/sheet6.xml" Id="R3e48b2e5961548d0" /><Relationship Type="http://schemas.openxmlformats.org/officeDocument/2006/relationships/worksheet" Target="/xl/worksheets/sheet7.xml" Id="Ref32100fb5d04dff" /><Relationship Type="http://schemas.openxmlformats.org/officeDocument/2006/relationships/worksheet" Target="/xl/worksheets/sheet8.xml" Id="R08d8697d5cad4fa0" /><Relationship Type="http://schemas.openxmlformats.org/officeDocument/2006/relationships/worksheet" Target="/xl/worksheets/sheet9.xml" Id="R7c442fd95a354933" /><Relationship Type="http://schemas.openxmlformats.org/officeDocument/2006/relationships/worksheet" Target="/xl/worksheets/sheet10.xml" Id="Rb03919ef8f334a63" /><Relationship Type="http://schemas.openxmlformats.org/officeDocument/2006/relationships/worksheet" Target="/xl/worksheets/sheet11.xml" Id="R1501da798f204d6b" /><Relationship Type="http://schemas.openxmlformats.org/officeDocument/2006/relationships/worksheet" Target="/xl/worksheets/sheet12.xml" Id="Ra08a78ef5d624d28" /><Relationship Type="http://schemas.openxmlformats.org/officeDocument/2006/relationships/worksheet" Target="/xl/worksheets/sheet13.xml" Id="R668ef22b66c14f5a" /><Relationship Type="http://schemas.openxmlformats.org/officeDocument/2006/relationships/worksheet" Target="/xl/worksheets/sheet14.xml" Id="R7588f3e2dec649ad" /><Relationship Type="http://schemas.openxmlformats.org/officeDocument/2006/relationships/worksheet" Target="/xl/worksheets/sheet15.xml" Id="R929baca54d0a4f89" /><Relationship Type="http://schemas.openxmlformats.org/officeDocument/2006/relationships/worksheet" Target="/xl/worksheets/sheet16.xml" Id="R15bc4c30936c43a4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FinancialsTable" displayName="FinancialsTable" ref="A1:T7" headerRowCount="1">
  <x:tableColumns count="20">
    <x:tableColumn id="1" name="Year"/>
    <x:tableColumn id="2" name="Revenue"/>
    <x:tableColumn id="3" name="COGS"/>
    <x:tableColumn id="4" name="Admin_OPEX_Non_Manpower"/>
    <x:tableColumn id="5" name="Selling_OPEX_Non_Manpower"/>
    <x:tableColumn id="6" name="Other_Operating_Cost"/>
    <x:tableColumn id="7" name="Interest_Expense"/>
    <x:tableColumn id="8" name="Tax_Expense"/>
    <x:tableColumn id="9" name="Gross_Profit"/>
    <x:tableColumn id="10" name="Gross_Margin_Pct"/>
    <x:tableColumn id="11" name="Operating_OPEX_Non_Manpower"/>
    <x:tableColumn id="12" name="EBIT"/>
    <x:tableColumn id="13" name="Operating_Margin_Pct"/>
    <x:tableColumn id="14" name="PBT"/>
    <x:tableColumn id="15" name="Net_Profit"/>
    <x:tableColumn id="16" name="Net_Margin_Pct"/>
    <x:tableColumn id="17" name="Admin_OPEX_Ratio"/>
    <x:tableColumn id="18" name="Interest_Ratio"/>
    <x:tableColumn id="19" name="Tax_Ratio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216efe3c22b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08f93e53794e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8a4017dd00a46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4aedcbfbc6446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811c907524d46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ba6692bf8f046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be508deaf8f46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f28cfa662414e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d6153212194d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7661b5e750248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8179902a31a444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33a80ebf40dc410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5c35217362c410b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  <x:row r="32">
      <x:c r="A32" s="62" t="str">
        <x:v>V3 Financial Upgrade:</x:v>
      </x:c>
    </x:row>
    <x:row r="33">
      <x:c r="A33" s="2" t="str">
        <x:v>- Sheet FINANCIALS ditambahkan untuk membaca struktur laba rugi.</x:v>
      </x:c>
    </x:row>
    <x:row r="34">
      <x:c r="A34" s="2" t="str">
        <x:v>- Isi Admin/Selling/Other OPEX sebagai biaya non-manpower agar tidak double count dengan PAYROLL_YR.</x:v>
      </x:c>
    </x:row>
    <x:row r="35">
      <x:c r="A35" s="2" t="str">
        <x:v>- Dashboard menghitung Gross Profit, EBIT, PBT, Net Profit, Operating Margin, dan Net Margin.</x:v>
      </x:c>
    </x:row>
    <x:row r="36">
      <x:c r="A36" s="2" t="str">
        <x:v>- TARGETS ditambahkan untuk Operating Margin, Net Margin, Admin OPEX Ratio, dan Interest Ratio.</x:v>
      </x:c>
    </x:row>
    <x:row r="37">
      <x:c r="A37" s="2" t="str">
        <x:v>- Executive Summary akan membaca profit quality, bukan hanya revenue dan manpower.</x:v>
      </x:c>
    </x:row>
    <x:row r="38">
      <x:c r="A38" s="2" t="str"/>
    </x:row>
    <x:row r="39">
      <x:c r="A39" s="2" t="str">
        <x:v>Catatan:</x:v>
      </x:c>
    </x:row>
    <x:row r="40">
      <x:c r="A40" s="2" t="str">
        <x:v>Jika Admin OPEX sudah termasuk gaji, jangan masukkan lagi payroll yang sama di PAYROLL_YR.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4" hidden="0" customWidth="1"/>
    <x:col min="2" max="2" width="16" hidden="0" customWidth="1"/>
    <x:col min="3" max="3" width="44" hidden="0" customWidth="1"/>
    <x:col min="4" max="4" width="28" customWidth="1"/>
    <x:col min="5" max="5" width="65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</x:row>
    <x:row r="39">
      <x:c r="E39" s="51" t="str">
        <x:v>Added V3 Financial Targets</x:v>
      </x:c>
    </x:row>
    <x:row r="40">
      <x:c r="A40" s="55" t="str">
        <x:v>Operating_Margin_Strong_Min</x:v>
      </x:c>
      <x:c r="B40" s="58" t="n">
        <x:v>0.2</x:v>
      </x:c>
      <x:c r="C40" s="55" t="str">
        <x:v>EBIT / Revenue strong threshold</x:v>
      </x:c>
    </x:row>
    <x:row r="41">
      <x:c r="A41" s="45" t="str">
        <x:v>Operating_Margin_Healthy_Min</x:v>
      </x:c>
      <x:c r="B41" s="59" t="n">
        <x:v>0.15</x:v>
      </x:c>
      <x:c r="C41" s="45" t="str">
        <x:v>EBIT / Revenue healthy threshold</x:v>
      </x:c>
    </x:row>
    <x:row r="42">
      <x:c r="A42" s="45" t="str">
        <x:v>Operating_Margin_Watch_Min</x:v>
      </x:c>
      <x:c r="B42" s="59" t="n">
        <x:v>0.1</x:v>
      </x:c>
      <x:c r="C42" s="45" t="str">
        <x:v>EBIT / Revenue watch threshold</x:v>
      </x:c>
    </x:row>
    <x:row r="43">
      <x:c r="A43" s="45" t="str">
        <x:v>Operating_Margin_Pressure_Min</x:v>
      </x:c>
      <x:c r="B43" s="59" t="n">
        <x:v>0.05</x:v>
      </x:c>
      <x:c r="C43" s="45" t="str">
        <x:v>EBIT / Revenue pressure threshold</x:v>
      </x:c>
    </x:row>
    <x:row r="44">
      <x:c r="A44" s="45" t="str">
        <x:v>Net_Margin_Strong_Min</x:v>
      </x:c>
      <x:c r="B44" s="59" t="n">
        <x:v>0.12</x:v>
      </x:c>
      <x:c r="C44" s="45" t="str">
        <x:v>Net Profit / Revenue strong threshold</x:v>
      </x:c>
    </x:row>
    <x:row r="45">
      <x:c r="A45" s="45" t="str">
        <x:v>Net_Margin_Healthy_Min</x:v>
      </x:c>
      <x:c r="B45" s="59" t="n">
        <x:v>0.08</x:v>
      </x:c>
      <x:c r="C45" s="45" t="str">
        <x:v>Net Profit / Revenue healthy threshold</x:v>
      </x:c>
    </x:row>
    <x:row r="46">
      <x:c r="A46" s="45" t="str">
        <x:v>Net_Margin_Watch_Min</x:v>
      </x:c>
      <x:c r="B46" s="59" t="n">
        <x:v>0.04</x:v>
      </x:c>
      <x:c r="C46" s="45" t="str">
        <x:v>Net Profit / Revenue watch threshold</x:v>
      </x:c>
    </x:row>
    <x:row r="47">
      <x:c r="A47" s="45" t="str">
        <x:v>Net_Margin_Pressure_Min</x:v>
      </x:c>
      <x:c r="B47" s="59" t="n">
        <x:v>0.02</x:v>
      </x:c>
      <x:c r="C47" s="45" t="str">
        <x:v>Net Profit / Revenue pressure threshold</x:v>
      </x:c>
    </x:row>
    <x:row r="48">
      <x:c r="A48" s="45" t="str">
        <x:v>Admin_OPEX_Ratio_Max</x:v>
      </x:c>
      <x:c r="B48" s="59" t="n">
        <x:v>0.1</x:v>
      </x:c>
      <x:c r="C48" s="45" t="str">
        <x:v>Admin OPEX non-manpower / Revenue max</x:v>
      </x:c>
    </x:row>
    <x:row r="49">
      <x:c r="A49" s="45" t="str">
        <x:v>Interest_Ratio_Max</x:v>
      </x:c>
      <x:c r="B49" s="59" t="n">
        <x:v>0.03</x:v>
      </x:c>
      <x:c r="C49" s="45" t="str">
        <x:v>Interest Expense / Revenue max</x:v>
      </x:c>
    </x:row>
  </x:sheetData>
  <x:pageMargins left="0.7" right="0.7" top="0.75" bottom="0.75" header="0.3" footer="0.3"/>
  <x:tableParts count="1">
    <x:tablePart xmlns:r="http://schemas.openxmlformats.org/officeDocument/2006/relationships" r:id="Rd216efe3c22b4e3c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bd08f93e53794ec6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a4017dd00a467d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aedcbfbc6446d5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19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e811c907524d4619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a6692bf8f0460b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abe508deaf8f46c1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28cfa662414ed1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88d6153212194dc1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661b5e750248b7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179902a31a444c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8" customWidth="1"/>
    <x:col min="2" max="2" width="32" customWidth="1"/>
  </x:cols>
  <x:sheetData>
    <x:row r="1" ht="24" customHeight="1">
      <x:c r="A1" s="6" t="s">
        <x:v>237</x:v>
      </x:c>
    </x:row>
    <x:row r="3" ht="15">
      <x:c r="A3" s="3" t="s">
        <x:v>238</x:v>
      </x:c>
      <x:c r="B3" s="3">
        <x:v>2026</x:v>
      </x:c>
    </x:row>
    <x:row r="4">
      <x:c r="A4" s="2" t="s">
        <x:v>239</x:v>
      </x:c>
      <x:c r="B4" s="7" t="n">
        <x:f>SUMIFS(REVENUE_YR!C:C,REVENUE_YR!A:A,B3)</x:f>
        <x:v>20000000000</x:v>
      </x:c>
    </x:row>
    <x:row r="5">
      <x:c r="A5" s="2" t="s">
        <x:v>240</x:v>
      </x:c>
      <x:c r="B5" s="7" t="n">
        <x:f>SUMIFS(REVENUE_YR!D:D,REVENUE_YR!A:A,B3)</x:f>
        <x:v>17000000000</x:v>
      </x:c>
    </x:row>
    <x:row r="6">
      <x:c r="A6" s="2" t="s">
        <x:v>241</x:v>
      </x:c>
      <x:c r="B6" s="4" t="n">
        <x:f>IF(B4&gt;0,(B4-B5)/B4,"")</x:f>
        <x:v>0.15</x:v>
      </x:c>
    </x:row>
    <x:row r="7">
      <x:c r="A7" s="2" t="s">
        <x:v>242</x:v>
      </x:c>
      <x:c r="B7" s="8" t="n">
        <x:f>SUMIFS(HEADCOUNT_YR!C:C,HEADCOUNT_YR!A:A,B3)</x:f>
        <x:v>71</x:v>
      </x:c>
    </x:row>
    <x:row r="8">
      <x:c r="A8" s="2" t="s">
        <x:v>243</x:v>
      </x:c>
      <x:c r="B8" s="7" t="n">
        <x:f>SUMIFS(PAYROLL_YR!H:H,PAYROLL_YR!A:A,B3)</x:f>
        <x:v>4577400159</x:v>
      </x:c>
    </x:row>
    <x:row r="9">
      <x:c r="A9" s="2" t="s">
        <x:v>244</x:v>
      </x:c>
      <x:c r="B9" s="7" t="n">
        <x:f>IF(B7&gt;0,B4/B7,"")</x:f>
        <x:v>281690140.8450704</x:v>
      </x:c>
    </x:row>
    <x:row r="10">
      <x:c r="A10" s="2" t="s">
        <x:v>245</x:v>
      </x:c>
      <x:c r="B10" s="4" t="n">
        <x:f>IF(B4&gt;0,B8/B4,"")</x:f>
        <x:v>0.22887000795</x:v>
      </x:c>
    </x:row>
    <x:row r="11" ht="15">
      <x:c r="A11" s="2" t="s">
        <x:v>246</x:v>
      </x:c>
      <x:c r="B11" s="9" t="str">
        <x:f>IF(B10&lt;=0.09,"HIGH_LEVERAGE/LOW COST BASE","REVIEW")</x:f>
        <x:v>REVIEW</x:v>
      </x:c>
    </x:row>
    <x:row r="12" ht="15">
      <x:c r="A12" s="2" t="s">
        <x:v>247</x:v>
      </x:c>
      <x:c r="B12" s="9" t="str">
        <x:f>IF(B6&gt;=0.35,"STRONG",IF(B6&gt;=0.25,"HEALTHY",IF(B6&gt;=0.15,"WATCH",IF(B6&gt;=0.1,"PRESSURE","CRITICAL"))))</x:f>
        <x:v>WATCH</x:v>
      </x:c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20" customWidth="1"/>
    <x:col min="5" max="5" width="22" customWidth="1"/>
    <x:col min="6" max="6" width="18" customWidth="1"/>
    <x:col min="7" max="7" width="68" customWidth="1"/>
  </x:cols>
  <x:sheetData>
    <x:row r="1" ht="15">
      <x:c r="A1" s="16" t="s">
        <x:v>172</x:v>
      </x:c>
      <x:c r="B1" s="16" t="s">
        <x:v>248</x:v>
      </x:c>
      <x:c r="C1" s="16" t="s">
        <x:v>249</x:v>
      </x:c>
      <x:c r="D1" s="16" t="s">
        <x:v>250</x:v>
      </x:c>
      <x:c r="E1" s="17" t="s">
        <x:v>251</x:v>
      </x:c>
      <x:c r="F1" s="16" t="s">
        <x:v>252</x:v>
      </x:c>
      <x:c r="G1" s="16" t="s">
        <x:v>50</x:v>
      </x:c>
    </x:row>
    <x:row r="2">
      <x:c r="A2" s="14">
        <x:v>2021</x:v>
      </x:c>
      <x:c r="B2" s="14">
        <x:v>12</x:v>
      </x:c>
      <x:c r="C2" s="14" t="s">
        <x:v>253</x:v>
      </x:c>
      <x:c r="D2" s="14" t="s">
        <x:v>254</x:v>
      </x:c>
      <x:c r="E2" s="14" t="n">
        <x:f t="shared" ref="E2:E7" si="0">IF(B2&gt;0,12/B2,"")</x:f>
        <x:v>1</x:v>
      </x:c>
      <x:c r="F2" s="14" t="s">
        <x:v>235</x:v>
      </x:c>
      <x:c r="G2" s="14" t="s">
        <x:v>255</x:v>
      </x:c>
    </x:row>
    <x:row r="3">
      <x:c r="A3" s="14">
        <x:v>2022</x:v>
      </x:c>
      <x:c r="B3" s="14">
        <x:v>12</x:v>
      </x:c>
      <x:c r="C3" s="14" t="s">
        <x:v>253</x:v>
      </x:c>
      <x:c r="D3" s="14" t="s">
        <x:v>256</x:v>
      </x:c>
      <x:c r="E3" s="14">
        <x:f t="shared" si="0"/>
        <x:v>1</x:v>
      </x:c>
      <x:c r="F3" s="14" t="s">
        <x:v>235</x:v>
      </x:c>
      <x:c r="G3" s="14" t="s">
        <x:v>255</x:v>
      </x:c>
    </x:row>
    <x:row r="4">
      <x:c r="A4" s="14">
        <x:v>2023</x:v>
      </x:c>
      <x:c r="B4" s="14">
        <x:v>12</x:v>
      </x:c>
      <x:c r="C4" s="14" t="s">
        <x:v>253</x:v>
      </x:c>
      <x:c r="D4" s="14" t="s">
        <x:v>257</x:v>
      </x:c>
      <x:c r="E4" s="14">
        <x:f t="shared" si="0"/>
        <x:v>1</x:v>
      </x:c>
      <x:c r="F4" s="14" t="s">
        <x:v>235</x:v>
      </x:c>
      <x:c r="G4" s="14" t="s">
        <x:v>255</x:v>
      </x:c>
    </x:row>
    <x:row r="5">
      <x:c r="A5" s="14">
        <x:v>2024</x:v>
      </x:c>
      <x:c r="B5" s="14">
        <x:v>12</x:v>
      </x:c>
      <x:c r="C5" s="14" t="s">
        <x:v>253</x:v>
      </x:c>
      <x:c r="D5" s="14" t="s">
        <x:v>258</x:v>
      </x:c>
      <x:c r="E5" s="14">
        <x:f t="shared" si="0"/>
        <x:v>1</x:v>
      </x:c>
      <x:c r="F5" s="14" t="s">
        <x:v>235</x:v>
      </x:c>
      <x:c r="G5" s="14" t="s">
        <x:v>255</x:v>
      </x:c>
    </x:row>
    <x:row r="6">
      <x:c r="A6" s="14">
        <x:v>2025</x:v>
      </x:c>
      <x:c r="B6" s="14">
        <x:v>12</x:v>
      </x:c>
      <x:c r="C6" s="14" t="s">
        <x:v>253</x:v>
      </x:c>
      <x:c r="D6" s="14" t="s">
        <x:v>259</x:v>
      </x:c>
      <x:c r="E6" s="14">
        <x:f t="shared" si="0"/>
        <x:v>1</x:v>
      </x:c>
      <x:c r="F6" s="14" t="s">
        <x:v>235</x:v>
      </x:c>
      <x:c r="G6" s="14" t="s">
        <x:v>255</x:v>
      </x:c>
    </x:row>
    <x:row r="7">
      <x:c r="A7" s="14">
        <x:v>2026</x:v>
      </x:c>
      <x:c r="B7" s="14">
        <x:v>6</x:v>
      </x:c>
      <x:c r="C7" s="14" t="s">
        <x:v>260</x:v>
      </x:c>
      <x:c r="D7" s="14" t="s">
        <x:v>261</x:v>
      </x:c>
      <x:c r="E7" s="14">
        <x:f t="shared" si="0"/>
        <x:v>2</x:v>
      </x:c>
      <x:c r="F7" s="14" t="s">
        <x:v>234</x:v>
      </x:c>
      <x:c r="G7" s="14" t="s">
        <x:v>262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a80ebf40dc410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1" max="11" width="20" hidden="0" customWidth="1"/>
    <x:col min="12" max="12" width="20" hidden="0" customWidth="1"/>
    <x:col min="14" max="14" width="20" hidden="0" customWidth="1"/>
    <x:col min="15" max="15" width="20" hidden="0" customWidth="1"/>
    <x:col min="10" max="10" width="16" hidden="0" customWidth="1"/>
    <x:col min="13" max="13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6" hidden="0" customWidth="1"/>
    <x:col min="22" max="22" width="26" hidden="0" customWidth="1"/>
    <x:col min="23" max="23" width="70" hidden="0" customWidth="1"/>
  </x:cols>
  <x:sheetData>
    <x:row r="1">
      <x:c r="A1" s="39" t="str">
        <x:v>Year</x:v>
      </x:c>
      <x:c r="B1" s="46" t="str">
        <x:v>Revenue</x:v>
      </x:c>
      <x:c r="C1" s="46" t="str">
        <x:v>COGS</x:v>
      </x:c>
      <x:c r="D1" s="46" t="str">
        <x:v>Admin_OPEX_Non_Manpower</x:v>
      </x:c>
      <x:c r="E1" s="46" t="str">
        <x:v>Selling_OPEX_Non_Manpower</x:v>
      </x:c>
      <x:c r="F1" s="46" t="str">
        <x:v>Other_Operating_Cost</x:v>
      </x:c>
      <x:c r="G1" s="46" t="str">
        <x:v>Interest_Expense</x:v>
      </x:c>
      <x:c r="H1" s="46" t="str">
        <x:v>Tax_Expense</x:v>
      </x:c>
      <x:c r="I1" s="46" t="str">
        <x:v>Gross_Profit</x:v>
      </x:c>
      <x:c r="J1" s="48" t="str">
        <x:v>Gross_Margin_Pct</x:v>
      </x:c>
      <x:c r="K1" s="46" t="str">
        <x:v>Operating_OPEX_Non_Manpower</x:v>
      </x:c>
      <x:c r="L1" s="46" t="str">
        <x:v>EBIT</x:v>
      </x:c>
      <x:c r="M1" s="48" t="str">
        <x:v>Operating_Margin_Pct</x:v>
      </x:c>
      <x:c r="N1" s="46" t="str">
        <x:v>PBT</x:v>
      </x:c>
      <x:c r="O1" s="46" t="str">
        <x:v>Net_Profit</x:v>
      </x:c>
      <x:c r="P1" s="48" t="str">
        <x:v>Net_Margin_Pct</x:v>
      </x:c>
      <x:c r="Q1" s="48" t="str">
        <x:v>Admin_OPEX_Ratio</x:v>
      </x:c>
      <x:c r="R1" s="48" t="str">
        <x:v>Interest_Ratio</x:v>
      </x:c>
      <x:c r="S1" s="48" t="str">
        <x:v>Tax_Ratio</x:v>
      </x:c>
      <x:c r="T1" s="39" t="str">
        <x:v>Notes</x:v>
      </x:c>
      <x:c r="V1" s="39" t="str">
        <x:v>FINANCIALS - Cara Isi</x:v>
      </x:c>
      <x:c r="W1" s="39" t="str">
        <x:v>Keterangan</x:v>
      </x:c>
    </x:row>
    <x:row r="2">
      <x:c r="A2" s="45" t="n">
        <x:v>2021</x:v>
      </x:c>
      <x:c r="B2" s="45" t="n">
        <x:f>IFERROR(SUMIF(REVENUE_YR!$A:$A,A2,REVENUE_YR!$C:$C),0)</x:f>
        <x:v>45048932718</x:v>
      </x:c>
      <x:c r="C2" s="45" t="n">
        <x:f>IFERROR(SUMIF(REVENUE_YR!$A:$A,A2,REVENUE_YR!$D:$D),0)</x:f>
        <x:v>23425445013</x:v>
      </x:c>
      <x:c r="D2" s="45" t="n">
        <x:v>0</x:v>
      </x:c>
      <x:c r="E2" s="45" t="n">
        <x:v>0</x:v>
      </x:c>
      <x:c r="F2" s="45" t="n">
        <x:v>0</x:v>
      </x:c>
      <x:c r="G2" s="45" t="n">
        <x:v>0</x:v>
      </x:c>
      <x:c r="H2" s="45" t="n">
        <x:v>0</x:v>
      </x:c>
      <x:c r="I2" s="45" t="n">
        <x:f>B2-C2</x:f>
        <x:v>21623487705</x:v>
      </x:c>
      <x:c r="J2" s="45" t="n">
        <x:f>IFERROR(I2/B2,0)</x:f>
        <x:v>0.4800000000079913</x:v>
      </x:c>
      <x:c r="K2" s="45" t="n">
        <x:f>D2+E2+F2</x:f>
        <x:v>0</x:v>
      </x:c>
      <x:c r="L2" s="45" t="n">
        <x:f>I2-K2</x:f>
        <x:v>21623487705</x:v>
      </x:c>
      <x:c r="M2" s="45" t="n">
        <x:f>IFERROR(L2/B2,0)</x:f>
        <x:v>0.4800000000079913</x:v>
      </x:c>
      <x:c r="N2" s="45" t="n">
        <x:f>L2-G2</x:f>
        <x:v>21623487705</x:v>
      </x:c>
      <x:c r="O2" s="45" t="n">
        <x:f>N2-H2</x:f>
        <x:v>21623487705</x:v>
      </x:c>
      <x:c r="P2" s="45" t="n">
        <x:f>IFERROR(O2/B2,0)</x:f>
        <x:v>0.4800000000079913</x:v>
      </x:c>
      <x:c r="Q2" s="45" t="n">
        <x:f>IFERROR(D2/B2,0)</x:f>
        <x:v>0</x:v>
      </x:c>
      <x:c r="R2" s="45" t="n">
        <x:f>IFERROR(G2/B2,0)</x:f>
        <x:v>0</x:v>
      </x:c>
      <x:c r="S2" s="45" t="n">
        <x:f>IFERROR(H2/B2,0)</x:f>
        <x:v>0</x:v>
      </x:c>
      <x:c r="T2" s="45" t="str">
        <x:v>Input biaya non-manpower agar tidak double count dengan PAYROLL_YR.</x:v>
      </x:c>
      <x:c r="V2" t="str">
        <x:v>Revenue</x:v>
      </x:c>
      <x:c r="W2" t="str">
        <x:v>Otomatis dari REVENUE_YR. Boleh override manual jika angka final P&amp;L berbeda.</x:v>
      </x:c>
    </x:row>
    <x:row r="3">
      <x:c r="A3" s="45" t="n">
        <x:v>2022</x:v>
      </x:c>
      <x:c r="B3" s="45" t="n">
        <x:f>IFERROR(SUMIF(REVENUE_YR!$A:$A,A3,REVENUE_YR!$C:$C),0)</x:f>
        <x:v>51100000000</x:v>
      </x:c>
      <x:c r="C3" s="45" t="n">
        <x:f>IFERROR(SUMIF(REVENUE_YR!$A:$A,A3,REVENUE_YR!$D:$D),0)</x:f>
        <x:v>27000000000</x:v>
      </x:c>
      <x:c r="D3" s="45" t="n">
        <x:v>0</x:v>
      </x:c>
      <x:c r="E3" s="45" t="n">
        <x:v>0</x:v>
      </x:c>
      <x:c r="F3" s="45" t="n">
        <x:v>0</x:v>
      </x:c>
      <x:c r="G3" s="45" t="n">
        <x:v>0</x:v>
      </x:c>
      <x:c r="H3" s="45" t="n">
        <x:v>0</x:v>
      </x:c>
      <x:c r="I3" s="45" t="n">
        <x:f>B3-C3</x:f>
        <x:v>24100000000</x:v>
      </x:c>
      <x:c r="J3" s="45" t="n">
        <x:f>IFERROR(I3/B3,0)</x:f>
        <x:v>0.47162426614481406</x:v>
      </x:c>
      <x:c r="K3" s="45" t="n">
        <x:f>D3+E3+F3</x:f>
        <x:v>0</x:v>
      </x:c>
      <x:c r="L3" s="45" t="n">
        <x:f>I3-K3</x:f>
        <x:v>24100000000</x:v>
      </x:c>
      <x:c r="M3" s="45" t="n">
        <x:f>IFERROR(L3/B3,0)</x:f>
        <x:v>0.47162426614481406</x:v>
      </x:c>
      <x:c r="N3" s="45" t="n">
        <x:f>L3-G3</x:f>
        <x:v>24100000000</x:v>
      </x:c>
      <x:c r="O3" s="45" t="n">
        <x:f>N3-H3</x:f>
        <x:v>24100000000</x:v>
      </x:c>
      <x:c r="P3" s="45" t="n">
        <x:f>IFERROR(O3/B3,0)</x:f>
        <x:v>0.47162426614481406</x:v>
      </x:c>
      <x:c r="Q3" s="45" t="n">
        <x:f>IFERROR(D3/B3,0)</x:f>
        <x:v>0</x:v>
      </x:c>
      <x:c r="R3" s="45" t="n">
        <x:f>IFERROR(G3/B3,0)</x:f>
        <x:v>0</x:v>
      </x:c>
      <x:c r="S3" s="45" t="n">
        <x:f>IFERROR(H3/B3,0)</x:f>
        <x:v>0</x:v>
      </x:c>
      <x:c r="T3" s="45" t="str">
        <x:v>Input biaya non-manpower agar tidak double count dengan PAYROLL_YR.</x:v>
      </x:c>
      <x:c r="V3" t="str">
        <x:v>COGS</x:v>
      </x:c>
      <x:c r="W3" t="str">
        <x:v>Otomatis dari REVENUE_YR. COGS adalah direct cost.</x:v>
      </x:c>
    </x:row>
    <x:row r="4">
      <x:c r="A4" s="45" t="n">
        <x:v>2023</x:v>
      </x:c>
      <x:c r="B4" s="45" t="n">
        <x:f>IFERROR(SUMIF(REVENUE_YR!$A:$A,A4,REVENUE_YR!$C:$C),0)</x:f>
        <x:v>58750000000</x:v>
      </x:c>
      <x:c r="C4" s="45" t="n">
        <x:f>IFERROR(SUMIF(REVENUE_YR!$A:$A,A4,REVENUE_YR!$D:$D),0)</x:f>
        <x:v>32500000000</x:v>
      </x:c>
      <x:c r="D4" s="45" t="n">
        <x:v>0</x:v>
      </x:c>
      <x:c r="E4" s="45" t="n">
        <x:v>0</x:v>
      </x:c>
      <x:c r="F4" s="45" t="n">
        <x:v>0</x:v>
      </x:c>
      <x:c r="G4" s="45" t="n">
        <x:v>0</x:v>
      </x:c>
      <x:c r="H4" s="45" t="n">
        <x:v>0</x:v>
      </x:c>
      <x:c r="I4" s="45" t="n">
        <x:f>B4-C4</x:f>
        <x:v>26250000000</x:v>
      </x:c>
      <x:c r="J4" s="45" t="n">
        <x:f>IFERROR(I4/B4,0)</x:f>
        <x:v>0.44680851063829785</x:v>
      </x:c>
      <x:c r="K4" s="45" t="n">
        <x:f>D4+E4+F4</x:f>
        <x:v>0</x:v>
      </x:c>
      <x:c r="L4" s="45" t="n">
        <x:f>I4-K4</x:f>
        <x:v>26250000000</x:v>
      </x:c>
      <x:c r="M4" s="45" t="n">
        <x:f>IFERROR(L4/B4,0)</x:f>
        <x:v>0.44680851063829785</x:v>
      </x:c>
      <x:c r="N4" s="45" t="n">
        <x:f>L4-G4</x:f>
        <x:v>26250000000</x:v>
      </x:c>
      <x:c r="O4" s="45" t="n">
        <x:f>N4-H4</x:f>
        <x:v>26250000000</x:v>
      </x:c>
      <x:c r="P4" s="45" t="n">
        <x:f>IFERROR(O4/B4,0)</x:f>
        <x:v>0.44680851063829785</x:v>
      </x:c>
      <x:c r="Q4" s="45" t="n">
        <x:f>IFERROR(D4/B4,0)</x:f>
        <x:v>0</x:v>
      </x:c>
      <x:c r="R4" s="45" t="n">
        <x:f>IFERROR(G4/B4,0)</x:f>
        <x:v>0</x:v>
      </x:c>
      <x:c r="S4" s="45" t="n">
        <x:f>IFERROR(H4/B4,0)</x:f>
        <x:v>0</x:v>
      </x:c>
      <x:c r="T4" s="45" t="str">
        <x:v>Input biaya non-manpower agar tidak double count dengan PAYROLL_YR.</x:v>
      </x:c>
      <x:c r="V4" t="str">
        <x:v>Admin_OPEX_Non_Manpower</x:v>
      </x:c>
      <x:c r="W4" t="str">
        <x:v>Isi biaya operasional/administrasi non-gaji agar tidak double count dengan PAYROLL_YR.</x:v>
      </x:c>
    </x:row>
    <x:row r="5">
      <x:c r="A5" s="45" t="n">
        <x:v>2024</x:v>
      </x:c>
      <x:c r="B5" s="45" t="n">
        <x:f>IFERROR(SUMIF(REVENUE_YR!$A:$A,A5,REVENUE_YR!$C:$C),0)</x:f>
        <x:v>62700000000</x:v>
      </x:c>
      <x:c r="C5" s="45" t="n">
        <x:f>IFERROR(SUMIF(REVENUE_YR!$A:$A,A5,REVENUE_YR!$D:$D),0)</x:f>
        <x:v>35000000000</x:v>
      </x:c>
      <x:c r="D5" s="45" t="n">
        <x:v>0</x:v>
      </x:c>
      <x:c r="E5" s="45" t="n">
        <x:v>0</x:v>
      </x:c>
      <x:c r="F5" s="45" t="n">
        <x:v>0</x:v>
      </x:c>
      <x:c r="G5" s="45" t="n">
        <x:v>0</x:v>
      </x:c>
      <x:c r="H5" s="45" t="n">
        <x:v>0</x:v>
      </x:c>
      <x:c r="I5" s="45" t="n">
        <x:f>B5-C5</x:f>
        <x:v>27700000000</x:v>
      </x:c>
      <x:c r="J5" s="45" t="n">
        <x:f>IFERROR(I5/B5,0)</x:f>
        <x:v>0.44178628389154706</x:v>
      </x:c>
      <x:c r="K5" s="45" t="n">
        <x:f>D5+E5+F5</x:f>
        <x:v>0</x:v>
      </x:c>
      <x:c r="L5" s="45" t="n">
        <x:f>I5-K5</x:f>
        <x:v>27700000000</x:v>
      </x:c>
      <x:c r="M5" s="45" t="n">
        <x:f>IFERROR(L5/B5,0)</x:f>
        <x:v>0.44178628389154706</x:v>
      </x:c>
      <x:c r="N5" s="45" t="n">
        <x:f>L5-G5</x:f>
        <x:v>27700000000</x:v>
      </x:c>
      <x:c r="O5" s="45" t="n">
        <x:f>N5-H5</x:f>
        <x:v>27700000000</x:v>
      </x:c>
      <x:c r="P5" s="45" t="n">
        <x:f>IFERROR(O5/B5,0)</x:f>
        <x:v>0.44178628389154706</x:v>
      </x:c>
      <x:c r="Q5" s="45" t="n">
        <x:f>IFERROR(D5/B5,0)</x:f>
        <x:v>0</x:v>
      </x:c>
      <x:c r="R5" s="45" t="n">
        <x:f>IFERROR(G5/B5,0)</x:f>
        <x:v>0</x:v>
      </x:c>
      <x:c r="S5" s="45" t="n">
        <x:f>IFERROR(H5/B5,0)</x:f>
        <x:v>0</x:v>
      </x:c>
      <x:c r="T5" s="45" t="str">
        <x:v>Input biaya non-manpower agar tidak double count dengan PAYROLL_YR.</x:v>
      </x:c>
      <x:c r="V5" t="str">
        <x:v>Selling_OPEX_Non_Manpower</x:v>
      </x:c>
      <x:c r="W5" t="str">
        <x:v>Isi biaya sales/marketing non-gaji jika ada.</x:v>
      </x:c>
    </x:row>
    <x:row r="6">
      <x:c r="A6" s="45" t="n">
        <x:v>2025</x:v>
      </x:c>
      <x:c r="B6" s="45" t="n">
        <x:f>IFERROR(SUMIF(REVENUE_YR!$A:$A,A6,REVENUE_YR!$C:$C),0)</x:f>
        <x:v>89705623736</x:v>
      </x:c>
      <x:c r="C6" s="45" t="n">
        <x:f>IFERROR(SUMIF(REVENUE_YR!$A:$A,A6,REVENUE_YR!$D:$D),0)</x:f>
        <x:v>67368593009</x:v>
      </x:c>
      <x:c r="D6" s="45" t="n">
        <x:v>0</x:v>
      </x:c>
      <x:c r="E6" s="45" t="n">
        <x:v>0</x:v>
      </x:c>
      <x:c r="F6" s="45" t="n">
        <x:v>0</x:v>
      </x:c>
      <x:c r="G6" s="45" t="n">
        <x:v>0</x:v>
      </x:c>
      <x:c r="H6" s="45" t="n">
        <x:v>0</x:v>
      </x:c>
      <x:c r="I6" s="45" t="n">
        <x:f>B6-C6</x:f>
        <x:v>22337030727</x:v>
      </x:c>
      <x:c r="J6" s="45" t="n">
        <x:f>IFERROR(I6/B6,0)</x:f>
        <x:v>0.2490036833447251</x:v>
      </x:c>
      <x:c r="K6" s="45" t="n">
        <x:f>D6+E6+F6</x:f>
        <x:v>0</x:v>
      </x:c>
      <x:c r="L6" s="45" t="n">
        <x:f>I6-K6</x:f>
        <x:v>22337030727</x:v>
      </x:c>
      <x:c r="M6" s="45" t="n">
        <x:f>IFERROR(L6/B6,0)</x:f>
        <x:v>0.2490036833447251</x:v>
      </x:c>
      <x:c r="N6" s="45" t="n">
        <x:f>L6-G6</x:f>
        <x:v>22337030727</x:v>
      </x:c>
      <x:c r="O6" s="45" t="n">
        <x:f>N6-H6</x:f>
        <x:v>22337030727</x:v>
      </x:c>
      <x:c r="P6" s="45" t="n">
        <x:f>IFERROR(O6/B6,0)</x:f>
        <x:v>0.2490036833447251</x:v>
      </x:c>
      <x:c r="Q6" s="45" t="n">
        <x:f>IFERROR(D6/B6,0)</x:f>
        <x:v>0</x:v>
      </x:c>
      <x:c r="R6" s="45" t="n">
        <x:f>IFERROR(G6/B6,0)</x:f>
        <x:v>0</x:v>
      </x:c>
      <x:c r="S6" s="45" t="n">
        <x:f>IFERROR(H6/B6,0)</x:f>
        <x:v>0</x:v>
      </x:c>
      <x:c r="T6" s="45" t="str">
        <x:v>Input biaya non-manpower agar tidak double count dengan PAYROLL_YR.</x:v>
      </x:c>
      <x:c r="V6" t="str">
        <x:v>Other_Operating_Cost</x:v>
      </x:c>
      <x:c r="W6" t="str">
        <x:v>Isi biaya operasional lain di luar manpower.</x:v>
      </x:c>
    </x:row>
    <x:row r="7">
      <x:c r="A7" s="45" t="n">
        <x:v>2026</x:v>
      </x:c>
      <x:c r="B7" s="45" t="n">
        <x:f>IFERROR(SUMIF(REVENUE_YR!$A:$A,A7,REVENUE_YR!$C:$C),0)</x:f>
        <x:v>20000000000</x:v>
      </x:c>
      <x:c r="C7" s="45" t="n">
        <x:f>IFERROR(SUMIF(REVENUE_YR!$A:$A,A7,REVENUE_YR!$D:$D),0)</x:f>
        <x:v>17000000000</x:v>
      </x:c>
      <x:c r="D7" s="45" t="n">
        <x:v>0</x:v>
      </x:c>
      <x:c r="E7" s="45" t="n">
        <x:v>0</x:v>
      </x:c>
      <x:c r="F7" s="45" t="n">
        <x:v>0</x:v>
      </x:c>
      <x:c r="G7" s="45" t="n">
        <x:v>0</x:v>
      </x:c>
      <x:c r="H7" s="45" t="n">
        <x:v>0</x:v>
      </x:c>
      <x:c r="I7" s="45" t="n">
        <x:f>B7-C7</x:f>
        <x:v>3000000000</x:v>
      </x:c>
      <x:c r="J7" s="45" t="n">
        <x:f>IFERROR(I7/B7,0)</x:f>
        <x:v>0.15</x:v>
      </x:c>
      <x:c r="K7" s="45" t="n">
        <x:f>D7+E7+F7</x:f>
        <x:v>0</x:v>
      </x:c>
      <x:c r="L7" s="45" t="n">
        <x:f>I7-K7</x:f>
        <x:v>3000000000</x:v>
      </x:c>
      <x:c r="M7" s="45" t="n">
        <x:f>IFERROR(L7/B7,0)</x:f>
        <x:v>0.15</x:v>
      </x:c>
      <x:c r="N7" s="45" t="n">
        <x:f>L7-G7</x:f>
        <x:v>3000000000</x:v>
      </x:c>
      <x:c r="O7" s="45" t="n">
        <x:f>N7-H7</x:f>
        <x:v>3000000000</x:v>
      </x:c>
      <x:c r="P7" s="45" t="n">
        <x:f>IFERROR(O7/B7,0)</x:f>
        <x:v>0.15</x:v>
      </x:c>
      <x:c r="Q7" s="45" t="n">
        <x:f>IFERROR(D7/B7,0)</x:f>
        <x:v>0</x:v>
      </x:c>
      <x:c r="R7" s="45" t="n">
        <x:f>IFERROR(G7/B7,0)</x:f>
        <x:v>0</x:v>
      </x:c>
      <x:c r="S7" s="45" t="n">
        <x:f>IFERROR(H7/B7,0)</x:f>
        <x:v>0</x:v>
      </x:c>
      <x:c r="T7" s="45" t="str">
        <x:v>Input biaya non-manpower agar tidak double count dengan PAYROLL_YR.</x:v>
      </x:c>
      <x:c r="V7" t="str">
        <x:v>Interest_Expense</x:v>
      </x:c>
      <x:c r="W7" t="str">
        <x:v>Isi biaya bunga pinjaman.</x:v>
      </x:c>
    </x:row>
    <x:row r="8">
      <x:c r="V8" t="str">
        <x:v>Tax_Expense</x:v>
      </x:c>
      <x:c r="W8" t="str">
        <x:v>Isi pajak penghasilan/beban pajak.</x:v>
      </x:c>
    </x:row>
    <x:row r="9">
      <x:c r="V9" t="str">
        <x:v>Net_Profit</x:v>
      </x:c>
      <x:c r="W9" t="str">
        <x:v>Dihitung otomatis: PBT - Tax.</x:v>
      </x:c>
    </x:row>
    <x:row r="10">
      <x:c r="V10" s="77" t="str">
        <x:v>Important</x:v>
      </x:c>
      <x:c r="W10" s="77" t="str">
        <x:v>Default OPEX/Interest/Tax values are 0. Replace with actual company P&amp;L data.</x:v>
      </x:c>
    </x:row>
    <x:row r="11">
      <x:c r="V11" s="2" t="str">
        <x:v>Do not double count</x:v>
      </x:c>
      <x:c r="W11" s="2" t="str">
        <x:v>If salary/payroll is already in PAYROLL_YR, do not include the same payroll inside Admin_OPEX_Non_Manpower.</x:v>
      </x:c>
    </x:row>
    <x:row r="12">
      <x:c r="V12" s="2" t="str">
        <x:v>Dashboard logic</x:v>
      </x:c>
      <x:c r="W12" s="2" t="str">
        <x:v>App subtracts Manpower Cost from PAYROLL_YR plus non-manpower OPEX from FINANCIALS.</x:v>
      </x:c>
    </x:row>
  </x:sheetData>
  <x:pageMargins left="0.7" right="0.7" top="0.75" bottom="0.75" header="0.3" footer="0.3"/>
  <x:tableParts count="1">
    <x:tablePart xmlns:r="http://schemas.openxmlformats.org/officeDocument/2006/relationships" r:id="R45c35217362c410b"/>
  </x:tableParts>
</x:worksheet>
</file>