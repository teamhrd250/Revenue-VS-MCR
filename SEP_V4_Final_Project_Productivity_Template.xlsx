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03328bbbf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4864c5b68e4853"/>
    <x:sheet xmlns:r="http://schemas.openxmlformats.org/officeDocument/2006/relationships" name="PARAMETERS" sheetId="2" r:id="R59934ecd93a545be"/>
    <x:sheet xmlns:r="http://schemas.openxmlformats.org/officeDocument/2006/relationships" name="TARGETS" sheetId="3" r:id="Re9f035adc34c4a67"/>
    <x:sheet xmlns:r="http://schemas.openxmlformats.org/officeDocument/2006/relationships" name="FJA_MAPPING" sheetId="4" r:id="R21d1fd508af44b56"/>
    <x:sheet xmlns:r="http://schemas.openxmlformats.org/officeDocument/2006/relationships" name="DIM_DEPARTMENT" sheetId="5" r:id="R84cf8db26fbe4e26"/>
    <x:sheet xmlns:r="http://schemas.openxmlformats.org/officeDocument/2006/relationships" name="DIM_EMPLOYEE" sheetId="6" r:id="Rd22bd342cab44c4d"/>
    <x:sheet xmlns:r="http://schemas.openxmlformats.org/officeDocument/2006/relationships" name="REVENUE_YR" sheetId="7" r:id="R50f7ed27d9bb415c"/>
    <x:sheet xmlns:r="http://schemas.openxmlformats.org/officeDocument/2006/relationships" name="REVENUE_BY_DEPT" sheetId="8" r:id="Rcc3bcf7937dc40c7"/>
    <x:sheet xmlns:r="http://schemas.openxmlformats.org/officeDocument/2006/relationships" name="HEADCOUNT_YR" sheetId="9" r:id="R3049c418239a4bc9"/>
    <x:sheet xmlns:r="http://schemas.openxmlformats.org/officeDocument/2006/relationships" name="PAYROLL_YR" sheetId="10" r:id="Rfb72ad831db94569"/>
    <x:sheet xmlns:r="http://schemas.openxmlformats.org/officeDocument/2006/relationships" name="HC_MOVEMENT" sheetId="11" r:id="R05c7dfbee2724424"/>
    <x:sheet xmlns:r="http://schemas.openxmlformats.org/officeDocument/2006/relationships" name="PROJECT_MARGIN" sheetId="12" r:id="R6a55ff4b3f6f4399"/>
    <x:sheet xmlns:r="http://schemas.openxmlformats.org/officeDocument/2006/relationships" name="CAPACITY_INDICATOR" sheetId="13" r:id="Rca1a946ff29742dc"/>
    <x:sheet xmlns:r="http://schemas.openxmlformats.org/officeDocument/2006/relationships" name="EXEC_SUMMARY" sheetId="14" r:id="Rc75f02be35e64f5b"/>
    <x:sheet xmlns:r="http://schemas.openxmlformats.org/officeDocument/2006/relationships" name="CALENDAR" sheetId="15" r:id="Raa33b39beb734366"/>
    <x:sheet xmlns:r="http://schemas.openxmlformats.org/officeDocument/2006/relationships" name="PRESENTATION_GUIDE" sheetId="16" r:id="Rfdba22e6e5ab48aa"/>
    <x:sheet xmlns:r="http://schemas.openxmlformats.org/officeDocument/2006/relationships" name="VISUAL_GUIDE" sheetId="17" r:id="R946aa8713556418f"/>
    <x:sheet xmlns:r="http://schemas.openxmlformats.org/officeDocument/2006/relationships" name="SEP_V4_GUIDE" sheetId="18" r:id="R330eabd921244d98"/>
    <x:sheet xmlns:r="http://schemas.openxmlformats.org/officeDocument/2006/relationships" name="SEP_PRESENTATION_FLOW" sheetId="19" r:id="R38c028fb84ee4f88"/>
    <x:sheet xmlns:r="http://schemas.openxmlformats.org/officeDocument/2006/relationships" name="MONTHLY_KPI" sheetId="20" r:id="Rffbf163e0c754f09"/>
    <x:sheet xmlns:r="http://schemas.openxmlformats.org/officeDocument/2006/relationships" name="MONTHLY_YTD_GUIDE" sheetId="21" r:id="Re168482da2fc4624"/>
    <x:sheet xmlns:r="http://schemas.openxmlformats.org/officeDocument/2006/relationships" name="BENCHMARK_FRAMEWORK" sheetId="22" r:id="R5e9905ee9830444c"/>
    <x:sheet xmlns:r="http://schemas.openxmlformats.org/officeDocument/2006/relationships" name="APPENDIX_KPI_DEFINITIONS" sheetId="23" r:id="R49fffca96c484277"/>
    <x:sheet xmlns:r="http://schemas.openxmlformats.org/officeDocument/2006/relationships" name="PROJECT_PRODUCTIVITY" sheetId="24" r:id="Rc76831693a084e77"/>
    <x:sheet xmlns:r="http://schemas.openxmlformats.org/officeDocument/2006/relationships" name="PROJECT_PRODUCTIVITY_GUIDE" sheetId="25" r:id="R430af7276b094b7b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<x:sst xmlns:x="http://schemas.openxmlformats.org/spreadsheetml/2006/main">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</x:sst>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122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4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2" fillId="8" xfId="0" applyNumberFormat="1" applyFont="1" applyFill="1" applyBorder="0" applyAlignment="1">
      <x:alignment wrapText="1"/>
    </x:xf>
    <x:xf numFmtId="0" fontId="2" fillId="8" xfId="0" applyNumberFormat="1" applyFont="1" applyFill="1" applyBorder="0" applyAlignment="1">
      <x:alignment horizont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3" fillId="9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xfId="0" applyNumberFormat="1" applyFont="1" applyFill="1" applyBorder="0"/>
    <x:xf numFmtId="0" fontId="2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9" xfId="0" applyNumberFormat="1" applyFont="1" applyFill="1" applyBorder="0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xfId="0" applyNumberFormat="1" applyFont="1" applyFill="1" applyBorder="0"/>
    <x:xf numFmtId="0" fontId="3" fillId="3" xfId="0" applyNumberFormat="1" applyFont="1" applyFill="1" applyBorder="0" applyAlignment="1">
      <x:alignment wrapText="1"/>
    </x:xf>
    <x:xf numFmtId="0" fontId="3" fillId="3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200" fontId="2" fillId="10" xfId="0" applyNumberFormat="1" applyFont="1" applyFill="1" applyBorder="0" applyAlignment="1">
      <x:alignment horizontal="center" vertical="center" wrapText="1"/>
    </x:xf>
    <x:xf numFmtId="166" fontId="2" fillId="10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167" fontId="2" fillId="10" borderId="0" xfId="0" applyNumberFormat="1" applyFont="1" applyFill="1" applyBorder="1" applyAlignment="1">
      <x:alignment horizontal="center" vertical="center" wrapText="1"/>
    </x:xf>
    <x:xf numFmtId="167" fontId="2" fillId="10" xfId="0" applyNumberFormat="1" applyFont="1" applyFill="1" applyBorder="0" applyAlignment="1">
      <x:alignment horizontal="center" vertical="center" wrapText="1"/>
    </x:xf>
    <x:xf numFmtId="200" fontId="2" fillId="3" xfId="0" applyNumberFormat="1" applyFont="1" applyFill="1" applyBorder="0" applyAlignment="1">
      <x:alignment horizontal="center" vertical="center" wrapText="1"/>
    </x:xf>
    <x:xf numFmtId="166" fontId="2" fillId="3" xfId="0" applyNumberFormat="1" applyFont="1" applyFill="1" applyBorder="0" applyAlignment="1">
      <x:alignment horizontal="center" vertical="center" wrapText="1"/>
    </x:xf>
    <x:xf numFmtId="167" fontId="2" fillId="3" xfId="0" applyNumberFormat="1" applyFont="1" applyFill="1" applyBorder="0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xfId="0" applyNumberFormat="1" applyFont="1" applyFill="1" applyBorder="0"/>
    <x:xf numFmtId="0" fontId="2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horizontal="center" wrapText="1"/>
    </x:xf>
    <x:xf numFmtId="0" fontId="2" fillId="12" xfId="0" applyNumberFormat="1" applyFont="1" applyFill="1" applyBorder="0" applyAlignment="1">
      <x:alignment horizontal="center" vertical="center" wrapText="1"/>
    </x:xf>
    <x:xf numFmtId="0" fontId="2" fillId="11" xfId="0" applyNumberFormat="1" applyFont="1" applyFill="1" applyBorder="0" applyAlignment="1">
      <x:alignment wrapText="1"/>
    </x:xf>
    <x:xf numFmtId="164" fontId="0" fillId="0" xfId="0" applyNumberFormat="1" applyFont="1" applyFill="1" applyBorder="0"/>
    <x:xf numFmtId="16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xfId="0" applyNumberFormat="1" applyFont="1" applyFill="1" applyBorder="0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xfId="0" applyNumberFormat="1" applyFont="1" applyFill="1" applyBorder="0"/>
    <x:xf numFmtId="0" fontId="2" fillId="13" xfId="0" applyNumberFormat="1" applyFont="1" applyFill="1" applyBorder="0" applyAlignment="1">
      <x:alignment wrapText="1"/>
    </x:xf>
    <x:xf numFmtId="0" fontId="2" fillId="13" xfId="0" applyNumberFormat="1" applyFont="1" applyFill="1" applyBorder="0" applyAlignment="1">
      <x:alignment horizontal="center" wrapText="1"/>
    </x:xf>
    <x:xf numFmtId="0" fontId="2" fillId="13" xfId="0" applyNumberFormat="1" applyFont="1" applyFill="1" applyBorder="0" applyAlignment="1">
      <x:alignment horizontal="center" vertical="center" wrapText="1"/>
    </x:xf>
    <x:xf numFmtId="200" fontId="2" fillId="13" xfId="0" applyNumberFormat="1" applyFont="1" applyFill="1" applyBorder="0" applyAlignment="1">
      <x:alignment horizontal="center" vertical="center" wrapText="1"/>
    </x:xf>
    <x:xf numFmtId="164" fontId="2" fillId="13" xfId="0" applyNumberFormat="1" applyFont="1" applyFill="1" applyBorder="0" applyAlignment="1">
      <x:alignment horizontal="center" vertical="center"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50e4d330c4b1b" /><Relationship Type="http://schemas.openxmlformats.org/officeDocument/2006/relationships/theme" Target="/xl/theme/theme1.xml" Id="Re2bf46743b0c4a22" /><Relationship Type="http://schemas.openxmlformats.org/officeDocument/2006/relationships/sharedStrings" Target="/xl/sharedStrings.xml" Id="Ra6601c4e9c0a42a1" /><Relationship Type="http://schemas.openxmlformats.org/officeDocument/2006/relationships/worksheet" Target="/xl/worksheets/sheet1.xml" Id="Rb34864c5b68e4853" /><Relationship Type="http://schemas.openxmlformats.org/officeDocument/2006/relationships/worksheet" Target="/xl/worksheets/sheet2.xml" Id="R59934ecd93a545be" /><Relationship Type="http://schemas.openxmlformats.org/officeDocument/2006/relationships/worksheet" Target="/xl/worksheets/sheet3.xml" Id="Re9f035adc34c4a67" /><Relationship Type="http://schemas.openxmlformats.org/officeDocument/2006/relationships/worksheet" Target="/xl/worksheets/sheet4.xml" Id="R21d1fd508af44b56" /><Relationship Type="http://schemas.openxmlformats.org/officeDocument/2006/relationships/worksheet" Target="/xl/worksheets/sheet5.xml" Id="R84cf8db26fbe4e26" /><Relationship Type="http://schemas.openxmlformats.org/officeDocument/2006/relationships/worksheet" Target="/xl/worksheets/sheet6.xml" Id="Rd22bd342cab44c4d" /><Relationship Type="http://schemas.openxmlformats.org/officeDocument/2006/relationships/worksheet" Target="/xl/worksheets/sheet7.xml" Id="R50f7ed27d9bb415c" /><Relationship Type="http://schemas.openxmlformats.org/officeDocument/2006/relationships/worksheet" Target="/xl/worksheets/sheet8.xml" Id="Rcc3bcf7937dc40c7" /><Relationship Type="http://schemas.openxmlformats.org/officeDocument/2006/relationships/worksheet" Target="/xl/worksheets/sheet9.xml" Id="R3049c418239a4bc9" /><Relationship Type="http://schemas.openxmlformats.org/officeDocument/2006/relationships/worksheet" Target="/xl/worksheets/sheet10.xml" Id="Rfb72ad831db94569" /><Relationship Type="http://schemas.openxmlformats.org/officeDocument/2006/relationships/worksheet" Target="/xl/worksheets/sheet11.xml" Id="R05c7dfbee2724424" /><Relationship Type="http://schemas.openxmlformats.org/officeDocument/2006/relationships/worksheet" Target="/xl/worksheets/sheet12.xml" Id="R6a55ff4b3f6f4399" /><Relationship Type="http://schemas.openxmlformats.org/officeDocument/2006/relationships/worksheet" Target="/xl/worksheets/sheet13.xml" Id="Rca1a946ff29742dc" /><Relationship Type="http://schemas.openxmlformats.org/officeDocument/2006/relationships/worksheet" Target="/xl/worksheets/sheet14.xml" Id="Rc75f02be35e64f5b" /><Relationship Type="http://schemas.openxmlformats.org/officeDocument/2006/relationships/worksheet" Target="/xl/worksheets/sheet15.xml" Id="Raa33b39beb734366" /><Relationship Type="http://schemas.openxmlformats.org/officeDocument/2006/relationships/worksheet" Target="/xl/worksheets/sheet16.xml" Id="Rfdba22e6e5ab48aa" /><Relationship Type="http://schemas.openxmlformats.org/officeDocument/2006/relationships/worksheet" Target="/xl/worksheets/sheet17.xml" Id="R946aa8713556418f" /><Relationship Type="http://schemas.openxmlformats.org/officeDocument/2006/relationships/worksheet" Target="/xl/worksheets/sheet18.xml" Id="R330eabd921244d98" /><Relationship Type="http://schemas.openxmlformats.org/officeDocument/2006/relationships/worksheet" Target="/xl/worksheets/sheet19.xml" Id="R38c028fb84ee4f88" /><Relationship Type="http://schemas.openxmlformats.org/officeDocument/2006/relationships/worksheet" Target="/xl/worksheets/sheet20.xml" Id="Rffbf163e0c754f09" /><Relationship Type="http://schemas.openxmlformats.org/officeDocument/2006/relationships/worksheet" Target="/xl/worksheets/sheet21.xml" Id="Re168482da2fc4624" /><Relationship Type="http://schemas.openxmlformats.org/officeDocument/2006/relationships/worksheet" Target="/xl/worksheets/sheet22.xml" Id="R5e9905ee9830444c" /><Relationship Type="http://schemas.openxmlformats.org/officeDocument/2006/relationships/worksheet" Target="/xl/worksheets/sheet23.xml" Id="R49fffca96c484277" /><Relationship Type="http://schemas.openxmlformats.org/officeDocument/2006/relationships/worksheet" Target="/xl/worksheets/sheet24.xml" Id="Rc76831693a084e77" /><Relationship Type="http://schemas.openxmlformats.org/officeDocument/2006/relationships/worksheet" Target="/xl/worksheets/sheet25.xml" Id="R430af7276b094b7b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MonthlyKpiTable" displayName="MonthlyKpiTable" ref="A1:R67" headerRowCount="1">
  <x:tableColumns count="18">
    <x:tableColumn id="1" name="Year"/>
    <x:tableColumn id="2" name="Month_No"/>
    <x:tableColumn id="3" name="Month_Name"/>
    <x:tableColumn id="4" name="Business_Line"/>
    <x:tableColumn id="5" name="Dept_ID"/>
    <x:tableColumn id="6" name="Revenue_Recognized"/>
    <x:tableColumn id="7" name="COGS_Direct"/>
    <x:tableColumn id="8" name="Avg_Headcount"/>
    <x:tableColumn id="9" name="New_Hires"/>
    <x:tableColumn id="10" name="Exits"/>
    <x:tableColumn id="11" name="Payroll_Gross"/>
    <x:tableColumn id="12" name="Overtime"/>
    <x:tableColumn id="13" name="Bonus"/>
    <x:tableColumn id="14" name="Benefits"/>
    <x:tableColumn id="15" name="Employer_Tax"/>
    <x:tableColumn id="16" name="Total_Manpower_Cost"/>
    <x:tableColumn id="17" name="Payment_Type"/>
    <x:tableColumn id="18" name="Notes"/>
  </x:tableColumns>
  <x:tableStyleInfo name="TableStyleMedium2" showRowStripes="1"/>
</x:table>
</file>

<file path=xl/tables/table14.xml><?xml version="1.0" encoding="utf-8"?>
<x:table xmlns:x="http://schemas.openxmlformats.org/spreadsheetml/2006/main" id="21" name="ProjectProductivityTable" displayName="ProjectProductivityTable" ref="A1:R17" headerRowCount="1">
  <x:tableColumns count="18">
    <x:tableColumn id="1" name="Year"/>
    <x:tableColumn id="2" name="Project_ID"/>
    <x:tableColumn id="3" name="Project_Name"/>
    <x:tableColumn id="4" name="Project_Category"/>
    <x:tableColumn id="5" name="Business_Line"/>
    <x:tableColumn id="6" name="Revenue"/>
    <x:tableColumn id="7" name="COGS"/>
    <x:tableColumn id="8" name="Manpower_Cost"/>
    <x:tableColumn id="9" name="Project_Hours"/>
    <x:tableColumn id="10" name="HC_Allocated"/>
    <x:tableColumn id="11" name="Sites_or_Tickets"/>
    <x:tableColumn id="12" name="SLA_Breach_Count"/>
    <x:tableColumn id="13" name="Gross_Profit"/>
    <x:tableColumn id="14" name="Gross_Margin_Pct"/>
    <x:tableColumn id="15" name="MCR_Pct"/>
    <x:tableColumn id="16" name="Revenue_per_HC"/>
    <x:tableColumn id="17" name="Revenue_per_Hour"/>
    <x:tableColumn id="1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6976368acec43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31f002d85ed43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eeaafee2d2c4a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95b02ef5c4d46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beb9fdbd50a46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7692fbfcb3943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2078e94bba43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fcf9b8869484a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0d9273eb014e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96dfc5570874cb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3bf882d10e94b7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4500b494ccbf443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3.xml" Id="R097a20cfe18a490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4.xml" Id="R9e67885afc4046f2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  <x:col min="7" max="7" width="34" hidden="0" customWidth="1"/>
    <x:col min="8" max="8" width="16" hidden="0" customWidth="1"/>
    <x:col min="9" max="9" width="56" hidden="0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  <x:c r="G1" s="107" t="str">
        <x:v>SEP V4 Recommended Target</x:v>
      </x:c>
      <x:c r="H1" s="107" t="str">
        <x:v>Value</x:v>
      </x:c>
      <x:c r="I1" s="107" t="str">
        <x:v>Notes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  <x:c r="G2" s="64" t="str">
        <x:v>Gross_Margin_Strong_Min</x:v>
      </x:c>
      <x:c r="H2" s="109" t="n">
        <x:v>0.3</x:v>
      </x:c>
      <x:c r="I2" s="64" t="str">
        <x:v>&gt;30% = strong for project-based telco/IT integrator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  <x:c r="G3" s="64" t="str">
        <x:v>Gross_Margin_Healthy_Min</x:v>
      </x:c>
      <x:c r="H3" s="109" t="n">
        <x:v>0.2</x:v>
      </x:c>
      <x:c r="I3" s="64" t="str">
        <x:v>20–30% = healthy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  <x:c r="G4" s="64" t="str">
        <x:v>Gross_Margin_Watch_Min</x:v>
      </x:c>
      <x:c r="H4" s="109" t="n">
        <x:v>0.15</x:v>
      </x:c>
      <x:c r="I4" s="64" t="str">
        <x:v>15–20% = watch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  <x:c r="G5" s="64" t="str">
        <x:v>Gross_Margin_Pressure_Min</x:v>
      </x:c>
      <x:c r="H5" s="109" t="n">
        <x:v>0.1</x:v>
      </x:c>
      <x:c r="I5" s="64" t="str">
        <x:v>10–15% = pressure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  <x:c r="G6" s="64" t="str">
        <x:v>MCR_Healthy_Max</x:v>
      </x:c>
      <x:c r="H6" s="109" t="n">
        <x:v>0.07</x:v>
      </x:c>
      <x:c r="I6" s="64" t="str">
        <x:v>5–7% = healthy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  <x:c r="G7" s="64" t="str">
        <x:v>MCR_Watch_Max</x:v>
      </x:c>
      <x:c r="H7" s="109" t="n">
        <x:v>0.09</x:v>
      </x:c>
      <x:c r="I7" s="64" t="str">
        <x:v>7–9% = watch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  <x:c r="G8" s="64" t="str">
        <x:v>MCR_Cost_Pressure_Max</x:v>
      </x:c>
      <x:c r="H8" s="109" t="n">
        <x:v>0.14</x:v>
      </x:c>
      <x:c r="I8" s="64" t="str">
        <x:v>9–14% = pressure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  <x:c r="H9" s="110"/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  <x:c r="H10" s="110"/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  <x:c r="H11" s="110"/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  <x:c r="H12" s="110"/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  <x:c r="H13" s="110"/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  <x:c r="H14" s="110"/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  <x:c r="H15" s="110"/>
    </x:row>
    <x:row r="16">
      <x:c r="H16" s="110"/>
    </x:row>
    <x:row r="17">
      <x:c r="H17" s="110"/>
    </x:row>
    <x:row r="18">
      <x:c r="H18" s="110"/>
    </x:row>
    <x:row r="19">
      <x:c r="H19" s="110"/>
    </x:row>
    <x:row r="20">
      <x:c r="H20" s="110"/>
    </x:row>
  </x:sheetData>
  <x:pageMargins left="0.7" right="0.7" top="0.75" bottom="0.75" header="0.3" footer="0.3"/>
  <x:tableParts count="1">
    <x:tablePart xmlns:r="http://schemas.openxmlformats.org/officeDocument/2006/relationships" r:id="Re6976368acec4349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331f002d85ed435a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eaafee2d2c4a64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5b02ef5c4d46c7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dbeb9fdbd50a4640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692fbfcb3943d7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5c2078e94bba4313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cf9b8869484a27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2b0d9273eb014e83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6dfc5570874cb4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bf882d10e94b72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6" hidden="0" customWidth="1"/>
    <x:col min="2" max="2" width="60" hidden="0" customWidth="1"/>
  </x:cols>
  <x:sheetData>
    <x:row r="1" ht="24" customHeight="1">
      <x:c r="A1" s="78" t="str">
        <x:v>SEP V4 Executive Summary</x:v>
      </x:c>
      <x:c r="B1" s="79" t="str">
        <x:v>Calculated dynamically in Streamlit</x:v>
      </x:c>
    </x:row>
    <x:row r="2">
      <x:c r="A2" t="str">
        <x:v>App file</x:v>
      </x:c>
      <x:c r="B2" t="str">
        <x:v>sep_v4_app.py</x:v>
      </x:c>
    </x:row>
    <x:row r="3" ht="15">
      <x:c r="A3" s="3" t="str">
        <x:v>Default workbook</x:v>
      </x:c>
      <x:c r="B3" s="3" t="str">
        <x:v>SEP_V4_Executive_Platform_Template.xlsx</x:v>
      </x:c>
    </x:row>
    <x:row r="4">
      <x:c r="A4" s="2" t="str">
        <x:v>Note</x:v>
      </x:c>
      <x:c r="B4" s="7" t="str">
        <x:v>This sheet is intentionally static to avoid stale formula errors.</x:v>
      </x:c>
    </x:row>
    <x:row r="5">
      <x:c r="A5" s="2"/>
      <x:c r="B5" s="7"/>
    </x:row>
    <x:row r="6">
      <x:c r="A6" s="2"/>
      <x:c r="B6" s="4"/>
    </x:row>
    <x:row r="7">
      <x:c r="A7" s="2"/>
      <x:c r="B7" s="8"/>
    </x:row>
    <x:row r="8">
      <x:c r="A8" s="2"/>
      <x:c r="B8" s="7"/>
    </x:row>
    <x:row r="9">
      <x:c r="A9" s="2"/>
      <x:c r="B9" s="7"/>
    </x:row>
    <x:row r="10">
      <x:c r="A10" s="2"/>
      <x:c r="B10" s="4"/>
    </x:row>
    <x:row r="11" ht="15">
      <x:c r="A11" s="2"/>
      <x:c r="B11" s="9"/>
    </x:row>
    <x:row r="12" ht="15">
      <x:c r="A12" s="2"/>
      <x:c r="B12" s="9"/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6" hidden="0" customWidth="1"/>
    <x:col min="7" max="7" width="28" hidden="0" customWidth="1"/>
    <x:col min="8" max="8" width="58" hidden="0" customWidth="1"/>
  </x:cols>
  <x:sheetData>
    <x:row r="1" ht="15">
      <x:c r="A1" s="90" t="str">
        <x:v>Year</x:v>
      </x:c>
      <x:c r="B1" s="90" t="str">
        <x:v>Months_Closed</x:v>
      </x:c>
      <x:c r="C1" s="90" t="str">
        <x:v>Period_Type</x:v>
      </x:c>
      <x:c r="D1" s="90" t="str">
        <x:v>Period_Label</x:v>
      </x:c>
      <x:c r="E1" s="95" t="str">
        <x:v>Annualization_Factor</x:v>
      </x:c>
      <x:c r="F1" s="90" t="str">
        <x:v>Data_Confidence</x:v>
      </x:c>
      <x:c r="G1" s="90" t="str">
        <x:v>Board_Use</x:v>
      </x:c>
      <x:c r="H1" s="90" t="str">
        <x:v>YTD_Comparable_Logic</x:v>
      </x:c>
    </x:row>
    <x:row r="2">
      <x:c r="A2" s="64" t="n">
        <x:v>2021</x:v>
      </x:c>
      <x:c r="B2" s="64" t="n">
        <x:v>12</x:v>
      </x:c>
      <x:c r="C2" s="64" t="str">
        <x:v>FY</x:v>
      </x:c>
      <x:c r="D2" s="64" t="str">
        <x:v>FY 2021</x:v>
      </x:c>
      <x:c r="E2" s="64" t="n">
        <x:f t="shared" ref="E2:E5" si="0">IF(B2&gt;0,12/B2,"")</x:f>
        <x:v>1</x:v>
      </x:c>
      <x:c r="F2" s="64" t="str">
        <x:v>High</x:v>
      </x:c>
      <x:c r="G2" s="64" t="str">
        <x:v>Full-year actual</x:v>
      </x:c>
      <x:c r="H2" s="64" t="str">
        <x:v>Uses MONTHLY_KPI Jan-Jun if available; otherwise proxy 6/12.</x:v>
      </x:c>
    </x:row>
    <x:row r="3">
      <x:c r="A3" s="64" t="n">
        <x:v>2022</x:v>
      </x:c>
      <x:c r="B3" s="64" t="n">
        <x:v>12</x:v>
      </x:c>
      <x:c r="C3" s="64" t="str">
        <x:v>FY</x:v>
      </x:c>
      <x:c r="D3" s="64" t="str">
        <x:v>FY 2022</x:v>
      </x:c>
      <x:c r="E3" s="64" t="n">
        <x:f t="shared" si="0"/>
        <x:v>1</x:v>
      </x:c>
      <x:c r="F3" s="64" t="str">
        <x:v>High</x:v>
      </x:c>
      <x:c r="G3" s="64" t="str">
        <x:v>Full-year actual</x:v>
      </x:c>
      <x:c r="H3" s="64" t="str">
        <x:v>Uses MONTHLY_KPI Jan-Jun if available; otherwise proxy 6/12.</x:v>
      </x:c>
    </x:row>
    <x:row r="4">
      <x:c r="A4" s="64" t="n">
        <x:v>2023</x:v>
      </x:c>
      <x:c r="B4" s="64" t="n">
        <x:v>12</x:v>
      </x:c>
      <x:c r="C4" s="64" t="str">
        <x:v>FY</x:v>
      </x:c>
      <x:c r="D4" s="64" t="str">
        <x:v>FY 2023</x:v>
      </x:c>
      <x:c r="E4" s="64" t="n">
        <x:f t="shared" si="0"/>
        <x:v>1</x:v>
      </x:c>
      <x:c r="F4" s="64" t="str">
        <x:v>High</x:v>
      </x:c>
      <x:c r="G4" s="64" t="str">
        <x:v>Full-year actual</x:v>
      </x:c>
      <x:c r="H4" s="64" t="str">
        <x:v>Uses MONTHLY_KPI Jan-Jun if available; otherwise proxy 6/12.</x:v>
      </x:c>
    </x:row>
    <x:row r="5">
      <x:c r="A5" s="64" t="n">
        <x:v>2024</x:v>
      </x:c>
      <x:c r="B5" s="64" t="n">
        <x:v>12</x:v>
      </x:c>
      <x:c r="C5" s="64" t="str">
        <x:v>FY</x:v>
      </x:c>
      <x:c r="D5" s="64" t="str">
        <x:v>FY 2024</x:v>
      </x:c>
      <x:c r="E5" s="64" t="n">
        <x:f t="shared" si="0"/>
        <x:v>1</x:v>
      </x:c>
      <x:c r="F5" s="64" t="str">
        <x:v>High</x:v>
      </x:c>
      <x:c r="G5" s="64" t="str">
        <x:v>Full-year actual</x:v>
      </x:c>
      <x:c r="H5" s="64" t="str">
        <x:v>Uses MONTHLY_KPI Jan-Jun if available; otherwise proxy 6/12.</x:v>
      </x:c>
    </x:row>
    <x:row r="6">
      <x:c r="A6" s="64" t="n">
        <x:v>2025</x:v>
      </x:c>
      <x:c r="B6" s="64" t="n">
        <x:v>12</x:v>
      </x:c>
      <x:c r="C6" s="64" t="str">
        <x:v>FY</x:v>
      </x:c>
      <x:c r="D6" s="64" t="str">
        <x:v>FY 2025</x:v>
      </x:c>
      <x:c r="E6" s="64" t="n">
        <x:v>1</x:v>
      </x:c>
      <x:c r="F6" s="64" t="str">
        <x:v>High</x:v>
      </x:c>
      <x:c r="G6" s="64" t="str">
        <x:v>Full-year actual</x:v>
      </x:c>
      <x:c r="H6" s="64" t="str">
        <x:v>For comparison with 2026 YTD, app reads Jan-Jun 2025 actual from MONTHLY_KPI.</x:v>
      </x:c>
    </x:row>
    <x:row r="7">
      <x:c r="A7" s="64" t="n">
        <x:v>2026</x:v>
      </x:c>
      <x:c r="B7" s="64" t="n">
        <x:v>6</x:v>
      </x:c>
      <x:c r="C7" s="64" t="str">
        <x:v>YTD</x:v>
      </x:c>
      <x:c r="D7" s="64" t="str">
        <x:v>YTD Jun 2026</x:v>
      </x:c>
      <x:c r="E7" s="64" t="n">
        <x:v>2</x:v>
      </x:c>
      <x:c r="F7" s="64" t="str">
        <x:v>Medium</x:v>
      </x:c>
      <x:c r="G7" s="64" t="str">
        <x:v>YTD actual</x:v>
      </x:c>
      <x:c r="H7" s="64" t="str">
        <x:v>Annual Projection uses 12/6=2. If 2026 is 4 months, set Months_Closed=4.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00b494ccbf443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6" hidden="0" customWidth="1"/>
    <x:col min="4" max="4" width="60" hidden="0" customWidth="1"/>
  </x:cols>
  <x:sheetData>
    <x:row r="1">
      <x:c r="A1" s="63" t="str">
        <x:v>Dashboard Area</x:v>
      </x:c>
      <x:c r="B1" s="63" t="str">
        <x:v>Visual Added</x:v>
      </x:c>
      <x:c r="C1" s="63" t="str">
        <x:v>Purpose</x:v>
      </x:c>
      <x:c r="D1" s="63" t="str">
        <x:v>How to Present</x:v>
      </x:c>
    </x:row>
    <x:row r="2">
      <x:c r="A2" s="64" t="str">
        <x:v>Management Insight Engine</x:v>
      </x:c>
      <x:c r="B2" s="64" t="str">
        <x:v>KPI Movement Driver chart</x:v>
      </x:c>
      <x:c r="C2" s="64" t="str">
        <x:v>Melihat KPI mana yang mendorong perubahan.</x:v>
      </x:c>
      <x:c r="D2" s="64" t="str">
        <x:v>Tunjukkan apakah Revenue, HC, RPE, MCR, atau GM yang paling mempengaruhi narasi.</x:v>
      </x:c>
    </x:row>
    <x:row r="3">
      <x:c r="A3" s="64" t="str">
        <x:v>Management Insight Engine</x:v>
      </x:c>
      <x:c r="B3" s="64" t="str">
        <x:v>Management Attention Map</x:v>
      </x:c>
      <x:c r="C3" s="64" t="str">
        <x:v>Memprioritaskan area yang harus dibahas Direksi.</x:v>
      </x:c>
      <x:c r="D3" s="64" t="str">
        <x:v>Fokus pada bar paling tinggi terlebih dahulu.</x:v>
      </x:c>
    </x:row>
    <x:row r="4">
      <x:c r="A4" s="64" t="str">
        <x:v>Hiring Decision Engine</x:v>
      </x:c>
      <x:c r="B4" s="64" t="str">
        <x:v>Hiring Decision Count</x:v>
      </x:c>
      <x:c r="C4" s="64" t="str">
        <x:v>Melihat jumlah departemen yang HIRE/HOLD/FREEZE/SELECTIVE.</x:v>
      </x:c>
      <x:c r="D4" s="64" t="str">
        <x:v>Gunakan sebagai ringkasan kebijakan hiring.</x:v>
      </x:c>
    </x:row>
    <x:row r="5">
      <x:c r="A5" s="64" t="str">
        <x:v>Hiring Decision Engine</x:v>
      </x:c>
      <x:c r="B5" s="64" t="str">
        <x:v>Hiring Priority Map</x:v>
      </x:c>
      <x:c r="C5" s="64" t="str">
        <x:v>Membaca hubungan utilization vs revenue per cost.</x:v>
      </x:c>
      <x:c r="D5" s="64" t="str">
        <x:v>Area utilization tinggi + revenue per cost baik layak jadi prioritas hiring.</x:v>
      </x:c>
    </x:row>
    <x:row r="6">
      <x:c r="A6" s="64" t="str">
        <x:v>Scenario Simulator Plus</x:v>
      </x:c>
      <x:c r="B6" s="64" t="str">
        <x:v>MCR Sensitivity line</x:v>
      </x:c>
      <x:c r="C6" s="64" t="str">
        <x:v>Menunjukkan dampak tambahan HC terhadap MCR.</x:v>
      </x:c>
      <x:c r="D6" s="64" t="str">
        <x:v>Gunakan untuk menjawab berapa HC tambahan yang masih aman.</x:v>
      </x:c>
    </x:row>
    <x:row r="7">
      <x:c r="A7" s="64" t="str">
        <x:v>Scenario Simulator Plus</x:v>
      </x:c>
      <x:c r="B7" s="64" t="str">
        <x:v>RPE Sensitivity line</x:v>
      </x:c>
      <x:c r="C7" s="64" t="str">
        <x:v>Menunjukkan dampak tambahan HC terhadap produktivitas.</x:v>
      </x:c>
      <x:c r="D7" s="64" t="str">
        <x:v>Jika RPE turun tajam, hiring harus ditahan atau revenue uplift harus lebih besar.</x:v>
      </x:c>
    </x:row>
    <x:row r="8">
      <x:c r="A8" s="64" t="str">
        <x:v>CEO One-Page</x:v>
      </x:c>
      <x:c r="B8" s="64" t="str">
        <x:v>Board Score Gauge</x:v>
      </x:c>
      <x:c r="C8" s="64" t="str">
        <x:v>Satu angka status perusahaan untuk CEO.</x:v>
      </x:c>
      <x:c r="D8" s="64" t="str">
        <x:v>Gunakan sebagai opening/closing slide.</x:v>
      </x:c>
    </x:row>
    <x:row r="9">
      <x:c r="A9" s="64" t="str">
        <x:v>CEO One-Page</x:v>
      </x:c>
      <x:c r="B9" s="64" t="str">
        <x:v>CEO Health Snapshot</x:v>
      </x:c>
      <x:c r="C9" s="64" t="str">
        <x:v>Meringkas score tiap komponen utama.</x:v>
      </x:c>
      <x:c r="D9" s="64" t="str">
        <x:v>Tunjukkan area yang kuat dan yang melemah.</x:v>
      </x:c>
    </x:row>
    <x:row r="10">
      <x:c r="A10" s="64" t="str">
        <x:v>Executive Closing</x:v>
      </x:c>
      <x:c r="B10" s="64" t="str">
        <x:v>Executive Closing Priority</x:v>
      </x:c>
      <x:c r="C10" s="64" t="str">
        <x:v>Menutup rapat dengan prioritas keputusan.</x:v>
      </x:c>
      <x:c r="D10" s="64" t="str">
        <x:v>Bacakan 3 prioritas tertinggi.</x:v>
      </x:c>
    </x:row>
    <x:row r="11">
      <x:c r="A11" s="64" t="str">
        <x:v>Executive Closing</x:v>
      </x:c>
      <x:c r="B11" s="64" t="str">
        <x:v>Roadmap Priority Mix</x:v>
      </x:c>
      <x:c r="C11" s="64" t="str">
        <x:v>Melihat bobot prioritas roadmap.</x:v>
      </x:c>
      <x:c r="D11" s="64" t="str">
        <x:v>Tunjukkan apakah action plan lebih banyak critical/high/medium.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58" hidden="0" customWidth="1"/>
  </x:cols>
  <x:sheetData>
    <x:row r="1">
      <x:c r="A1" s="79" t="str">
        <x:v>SEP V4 Module</x:v>
      </x:c>
      <x:c r="B1" s="79" t="str">
        <x:v>Purpose</x:v>
      </x:c>
      <x:c r="C1" s="79" t="str">
        <x:v>Visual / Output</x:v>
      </x:c>
      <x:c r="D1" s="79" t="str">
        <x:v>Board Question Answered</x:v>
      </x:c>
    </x:row>
    <x:row r="2">
      <x:c r="A2" s="64" t="str">
        <x:v>Executive Cockpit</x:v>
      </x:c>
      <x:c r="B2" s="64" t="str">
        <x:v>Company Health Index dan Executive KPI Radar</x:v>
      </x:c>
      <x:c r="C2" s="64" t="str">
        <x:v>Gauge, radar, score bars</x:v>
      </x:c>
      <x:c r="D2" s="64" t="str">
        <x:v>Apakah perusahaan sehat secara revenue, people cost, margin, dan capacity?</x:v>
      </x:c>
    </x:row>
    <x:row r="3">
      <x:c r="A3" s="64" t="str">
        <x:v>Workforce Portfolio</x:v>
      </x:c>
      <x:c r="B3" s="64" t="str">
        <x:v>BCG-style manpower portfolio</x:v>
      </x:c>
      <x:c r="C3" s="64" t="str">
        <x:v>Portfolio matrix + portfolio mix</x:v>
      </x:c>
      <x:c r="D3" s="64" t="str">
        <x:v>Fungsi mana yang harus di-scale, di-review, atau di-automate?</x:v>
      </x:c>
    </x:row>
    <x:row r="4">
      <x:c r="A4" s="64" t="str">
        <x:v>Risk &amp; Decision Matrix</x:v>
      </x:c>
      <x:c r="B4" s="64" t="str">
        <x:v>Prioritisasi risiko dan keputusan</x:v>
      </x:c>
      <x:c r="C4" s="64" t="str">
        <x:v>Risk matrix + decision cards</x:v>
      </x:c>
      <x:c r="D4" s="64" t="str">
        <x:v>Keputusan apa yang harus diambil Board?</x:v>
      </x:c>
    </x:row>
    <x:row r="5">
      <x:c r="A5" s="64" t="str">
        <x:v>Presentation Mode</x:v>
      </x:c>
      <x:c r="B5" s="64" t="str">
        <x:v>Alur presentasi Direksi</x:v>
      </x:c>
      <x:c r="C5" s="64" t="str">
        <x:v>Slide flow table + duration chart</x:v>
      </x:c>
      <x:c r="D5" s="64" t="str">
        <x:v>Bagaimana mempresentasikan dashboard ini secara runtut?</x:v>
      </x:c>
    </x:row>
    <x:row r="6">
      <x:c r="A6" s="64" t="str">
        <x:v>Executive Pack</x:v>
      </x:c>
      <x:c r="B6" s="64" t="str">
        <x:v>Closing message dan top decision</x:v>
      </x:c>
      <x:c r="C6" s="64" t="str">
        <x:v>Company health, board decision, top risk</x:v>
      </x:c>
      <x:c r="D6" s="64" t="str">
        <x:v>Apa kesimpulan akhir rapat?</x:v>
      </x:c>
    </x:row>
    <x:row r="7">
      <x:c r="A7" s="64" t="str"/>
      <x:c r="B7" s="64" t="str"/>
      <x:c r="C7" s="64" t="str"/>
      <x:c r="D7" s="64" t="str"/>
    </x:row>
    <x:row r="8">
      <x:c r="A8" s="79" t="str">
        <x:v>Analysis Mode</x:v>
      </x:c>
      <x:c r="B8" s="79" t="str">
        <x:v>Purpose</x:v>
      </x:c>
      <x:c r="C8" s="79" t="str">
        <x:v>When to Use</x:v>
      </x:c>
      <x:c r="D8" s="79" t="str">
        <x:v>Important Note</x:v>
      </x:c>
    </x:row>
    <x:row r="9">
      <x:c r="A9" s="64" t="str">
        <x:v>Actual</x:v>
      </x:c>
      <x:c r="B9" s="64" t="str">
        <x:v>Membaca angka sesuai input</x:v>
      </x:c>
      <x:c r="C9" s="64" t="str">
        <x:v>Untuk melihat realisasi apa adanya</x:v>
      </x:c>
      <x:c r="D9" s="64" t="str">
        <x:v>Tidak apple-to-apple jika YTD vs FY</x:v>
      </x:c>
    </x:row>
    <x:row r="10">
      <x:c r="A10" s="64" t="str">
        <x:v>YTD Comparable</x:v>
      </x:c>
      <x:c r="B10" s="64" t="str">
        <x:v>Menyamakan semua tahun ke basis bulan YTD</x:v>
      </x:c>
      <x:c r="C10" s="64" t="str">
        <x:v>Untuk membandingkan 2025 vs 2026 YTD</x:v>
      </x:c>
      <x:c r="D10" s="64" t="str">
        <x:v>Proxy jika data bulanan belum tersedia</x:v>
      </x:c>
    </x:row>
    <x:row r="11">
      <x:c r="A11" s="64" t="str">
        <x:v>Annual Projection</x:v>
      </x:c>
      <x:c r="B11" s="64" t="str">
        <x:v>Menyetahunkan YTD</x:v>
      </x:c>
      <x:c r="C11" s="64" t="str">
        <x:v>Untuk proyeksi FY berjalan</x:v>
      </x:c>
      <x:c r="D11" s="64" t="str">
        <x:v>Jika Months_Closed=4 maka x3</x:v>
      </x:c>
    </x:row>
    <x:row r="12">
      <x:c r="A12" s="64" t="str">
        <x:v>MCR Focus</x:v>
      </x:c>
      <x:c r="B12" s="64" t="str">
        <x:v>Revenue projected, cost actual/YTD</x:v>
      </x:c>
      <x:c r="C12" s="64" t="str">
        <x:v>Untuk stress-test MCR dan GM</x:v>
      </x:c>
      <x:c r="D12" s="64" t="str">
        <x:v>MCR dan GM akan berubah karena denominator berubah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60" hidden="0" customWidth="1"/>
    <x:col min="4" max="4" width="42" hidden="0" customWidth="1"/>
    <x:col min="5" max="5" width="20" hidden="0" customWidth="1"/>
  </x:cols>
  <x:sheetData>
    <x:row r="1">
      <x:c r="A1" s="107" t="str">
        <x:v>Board</x:v>
      </x:c>
      <x:c r="B1" s="107" t="str">
        <x:v>Business Question</x:v>
      </x:c>
      <x:c r="C1" s="107" t="str">
        <x:v>Main Content</x:v>
      </x:c>
      <x:c r="D1" s="107" t="str">
        <x:v>Do Not Mix With</x:v>
      </x:c>
      <x:c r="E1" s="79" t="str">
        <x:v>Suggested Duration</x:v>
      </x:c>
    </x:row>
    <x:row r="2">
      <x:c r="A2" s="64" t="str">
        <x:v>1. Executive Summary</x:v>
      </x:c>
      <x:c r="B2" s="64" t="str">
        <x:v>Kondisi perusahaan saat ini bagaimana?</x:v>
      </x:c>
      <x:c r="C2" s="64" t="str">
        <x:v>Company Health, Revenue, MCR, RPE, GM, Board Memo</x:v>
      </x:c>
      <x:c r="D2" s="64" t="str">
        <x:v>Benchmark detail, formula, appendix</x:v>
      </x:c>
      <x:c r="E2" s="64" t="str">
        <x:v>3 min</x:v>
      </x:c>
    </x:row>
    <x:row r="3">
      <x:c r="A3" s="64" t="str">
        <x:v>2. Revenue &amp; Productivity</x:v>
      </x:c>
      <x:c r="B3" s="64" t="str">
        <x:v>Apakah revenue tumbuh bersama produktivitas?</x:v>
      </x:c>
      <x:c r="C3" s="64" t="str">
        <x:v>Revenue trend, RPE, MCR, margin, growth drivers, project/service line productivity</x:v>
      </x:c>
      <x:c r="D3" s="64" t="str">
        <x:v>Hiring recommendation</x:v>
      </x:c>
      <x:c r="E3" s="64" t="str">
        <x:v>4 min</x:v>
      </x:c>
    </x:row>
    <x:row r="4">
      <x:c r="A4" s="64" t="str">
        <x:v>3. Workforce Performance</x:v>
      </x:c>
      <x:c r="B4" s="64" t="str">
        <x:v>Apakah struktur SDM sudah optimal?</x:v>
      </x:c>
      <x:c r="C4" s="64" t="str">
        <x:v>FJA mix, department productivity, workforce portfolio</x:v>
      </x:c>
      <x:c r="D4" s="64" t="str">
        <x:v>Benchmark methodology</x:v>
      </x:c>
      <x:c r="E4" s="64" t="str">
        <x:v>4 min</x:v>
      </x:c>
    </x:row>
    <x:row r="5">
      <x:c r="A5" s="64" t="str">
        <x:v>4. Capacity &amp; Delivery Risk</x:v>
      </x:c>
      <x:c r="B5" s="64" t="str">
        <x:v>Apakah organisasi mulai overload?</x:v>
      </x:c>
      <x:c r="C5" s="64" t="str">
        <x:v>Capacity score, utilization, overtime, SLA, backlog, dependency</x:v>
      </x:c>
      <x:c r="D5" s="64" t="str">
        <x:v>Revenue trend detail</x:v>
      </x:c>
      <x:c r="E5" s="64" t="str">
        <x:v>5 min</x:v>
      </x:c>
    </x:row>
    <x:row r="6">
      <x:c r="A6" s="64" t="str">
        <x:v>5. Strategic Decision Center</x:v>
      </x:c>
      <x:c r="B6" s="64" t="str">
        <x:v>Keputusan apa yang harus diambil?</x:v>
      </x:c>
      <x:c r="C6" s="64" t="str">
        <x:v>Insight, hiring decision, scenario, roadmap</x:v>
      </x:c>
      <x:c r="D6" s="64" t="str">
        <x:v>Formula appendix</x:v>
      </x:c>
      <x:c r="E6" s="64" t="str">
        <x:v>5 min</x:v>
      </x:c>
    </x:row>
    <x:row r="7">
      <x:c r="A7" s="64" t="str">
        <x:v>6. Executive Benchmark &amp; Methodology</x:v>
      </x:c>
      <x:c r="B7" s="64" t="str">
        <x:v>Mengapa target dapat dipercaya?</x:v>
      </x:c>
      <x:c r="C7" s="64" t="str">
        <x:v>KPI Target Framework, source basis, methodology, governance</x:v>
      </x:c>
      <x:c r="D7" s="64" t="str">
        <x:v>Operational dashboard charts</x:v>
      </x:c>
      <x:c r="E7" s="64" t="str">
        <x:v>5 min</x:v>
      </x:c>
    </x:row>
    <x:row r="8">
      <x:c r="A8" s="64" t="str">
        <x:v>7. CEO Closing Report</x:v>
      </x:c>
      <x:c r="B8" s="64" t="str">
        <x:v>Apa kesimpulan akhir dan tindakan berikutnya?</x:v>
      </x:c>
      <x:c r="C8" s="64" t="str">
        <x:v>Overall assessment, top decisions, roadmap, board statement</x:v>
      </x:c>
      <x:c r="D8" s="64" t="str">
        <x:v>Raw data detail</x:v>
      </x:c>
      <x:c r="E8" s="64" t="str">
        <x:v>4 min</x:v>
      </x:c>
    </x:row>
    <x:row r="9">
      <x:c r="A9" s="64" t="str">
        <x:v>8. Appendix</x:v>
      </x:c>
      <x:c r="B9" s="64" t="str">
        <x:v>Apa definisi dan formula detailnya?</x:v>
      </x:c>
      <x:c r="C9" s="64" t="str">
        <x:v>Formula, glossary, data source, governance</x:v>
      </x:c>
      <x:c r="D9" s="64" t="str">
        <x:v>Executive summary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55" hidden="0" customWidth="1"/>
  </x:cols>
  <x:sheetData>
    <x:row r="1">
      <x:c r="A1" s="90" t="str">
        <x:v>Year</x:v>
      </x:c>
      <x:c r="B1" s="90" t="str">
        <x:v>Month_No</x:v>
      </x:c>
      <x:c r="C1" s="90" t="str">
        <x:v>Month_Name</x:v>
      </x:c>
      <x:c r="D1" s="90" t="str">
        <x:v>Business_Line</x:v>
      </x:c>
      <x:c r="E1" s="90" t="str">
        <x:v>Dept_ID</x:v>
      </x:c>
      <x:c r="F1" s="91" t="str">
        <x:v>Revenue_Recognized</x:v>
      </x:c>
      <x:c r="G1" s="91" t="str">
        <x:v>COGS_Direct</x:v>
      </x:c>
      <x:c r="H1" s="92" t="str">
        <x:v>Avg_Headcount</x:v>
      </x:c>
      <x:c r="I1" s="92" t="str">
        <x:v>New_Hires</x:v>
      </x:c>
      <x:c r="J1" s="92" t="str">
        <x:v>Exits</x:v>
      </x:c>
      <x:c r="K1" s="91" t="str">
        <x:v>Payroll_Gross</x:v>
      </x:c>
      <x:c r="L1" s="91" t="str">
        <x:v>Overtime</x:v>
      </x:c>
      <x:c r="M1" s="91" t="str">
        <x:v>Bonus</x:v>
      </x:c>
      <x:c r="N1" s="91" t="str">
        <x:v>Benefits</x:v>
      </x:c>
      <x:c r="O1" s="91" t="str">
        <x:v>Employer_Tax</x:v>
      </x:c>
      <x:c r="P1" s="91" t="str">
        <x:v>Total_Manpower_Cost</x:v>
      </x:c>
      <x:c r="Q1" s="90" t="str">
        <x:v>Payment_Type</x:v>
      </x:c>
      <x:c r="R1" s="90" t="str">
        <x:v>Notes</x:v>
      </x:c>
    </x:row>
    <x:row r="2">
      <x:c r="A2" s="64" t="n">
        <x:v>2021</x:v>
      </x:c>
      <x:c r="B2" s="64" t="n">
        <x:v>1</x:v>
      </x:c>
      <x:c r="C2" s="64" t="str">
        <x:v>Jan</x:v>
      </x:c>
      <x:c r="D2" s="64" t="str">
        <x:v>Total Company</x:v>
      </x:c>
      <x:c r="E2" s="64" t="str">
        <x:v>COMPANY_TOTAL</x:v>
      </x:c>
      <x:c r="F2" s="64" t="n">
        <x:v>3754077726.5</x:v>
      </x:c>
      <x:c r="G2" s="64" t="n">
        <x:v>1952120417.75</x:v>
      </x:c>
      <x:c r="H2" s="64" t="n">
        <x:v>0</x:v>
      </x:c>
      <x:c r="I2" s="64" t="n">
        <x:v>0</x:v>
      </x:c>
      <x:c r="J2" s="64" t="n">
        <x:v>0</x:v>
      </x:c>
      <x:c r="K2" s="64" t="n">
        <x:v>0</x:v>
      </x:c>
      <x:c r="L2" s="64" t="n">
        <x:v>0</x:v>
      </x:c>
      <x:c r="M2" s="64" t="n">
        <x:v>0</x:v>
      </x:c>
      <x:c r="N2" s="64" t="n">
        <x:v>0</x:v>
      </x:c>
      <x:c r="O2" s="64" t="n">
        <x:v>0</x:v>
      </x:c>
      <x:c r="P2" s="64" t="n">
        <x:v>0</x:v>
      </x:c>
      <x:c r="Q2" s="64" t="str">
        <x:v>Company Total</x:v>
      </x:c>
      <x:c r="R2" s="64" t="str">
        <x:v>Generated from yearly data; replace with actual monthly revenue/COGS if available.</x:v>
      </x:c>
    </x:row>
    <x:row r="3">
      <x:c r="A3" s="64" t="n">
        <x:v>2021</x:v>
      </x:c>
      <x:c r="B3" s="64" t="n">
        <x:v>2</x:v>
      </x:c>
      <x:c r="C3" s="64" t="str">
        <x:v>Feb</x:v>
      </x:c>
      <x:c r="D3" s="64" t="str">
        <x:v>Total Company</x:v>
      </x:c>
      <x:c r="E3" s="64" t="str">
        <x:v>COMPANY_TOTAL</x:v>
      </x:c>
      <x:c r="F3" s="64" t="n">
        <x:v>3754077726.5</x:v>
      </x:c>
      <x:c r="G3" s="64" t="n">
        <x:v>1952120417.75</x:v>
      </x:c>
      <x:c r="H3" s="64" t="n">
        <x:v>0</x:v>
      </x:c>
      <x:c r="I3" s="64" t="n">
        <x:v>0</x:v>
      </x:c>
      <x:c r="J3" s="64" t="n">
        <x:v>0</x:v>
      </x:c>
      <x:c r="K3" s="64" t="n">
        <x:v>0</x:v>
      </x:c>
      <x:c r="L3" s="64" t="n">
        <x:v>0</x:v>
      </x:c>
      <x:c r="M3" s="64" t="n">
        <x:v>0</x:v>
      </x:c>
      <x:c r="N3" s="64" t="n">
        <x:v>0</x:v>
      </x:c>
      <x:c r="O3" s="64" t="n">
        <x:v>0</x:v>
      </x:c>
      <x:c r="P3" s="64" t="n">
        <x:v>0</x:v>
      </x:c>
      <x:c r="Q3" s="64" t="str">
        <x:v>Company Total</x:v>
      </x:c>
      <x:c r="R3" s="64" t="str">
        <x:v>Generated from yearly data; replace with actual monthly revenue/COGS if available.</x:v>
      </x:c>
    </x:row>
    <x:row r="4">
      <x:c r="A4" s="64" t="n">
        <x:v>2021</x:v>
      </x:c>
      <x:c r="B4" s="64" t="n">
        <x:v>3</x:v>
      </x:c>
      <x:c r="C4" s="64" t="str">
        <x:v>Mar</x:v>
      </x:c>
      <x:c r="D4" s="64" t="str">
        <x:v>Total Company</x:v>
      </x:c>
      <x:c r="E4" s="64" t="str">
        <x:v>COMPANY_TOTAL</x:v>
      </x:c>
      <x:c r="F4" s="64" t="n">
        <x:v>3754077726.5</x:v>
      </x:c>
      <x:c r="G4" s="64" t="n">
        <x:v>1952120417.75</x:v>
      </x:c>
      <x:c r="H4" s="64" t="n">
        <x:v>0</x:v>
      </x:c>
      <x:c r="I4" s="64" t="n">
        <x:v>0</x:v>
      </x:c>
      <x:c r="J4" s="64" t="n">
        <x:v>0</x:v>
      </x:c>
      <x:c r="K4" s="64" t="n">
        <x:v>0</x:v>
      </x:c>
      <x:c r="L4" s="64" t="n">
        <x:v>0</x:v>
      </x:c>
      <x:c r="M4" s="64" t="n">
        <x:v>0</x:v>
      </x:c>
      <x:c r="N4" s="64" t="n">
        <x:v>0</x:v>
      </x:c>
      <x:c r="O4" s="64" t="n">
        <x:v>0</x:v>
      </x:c>
      <x:c r="P4" s="64" t="n">
        <x:v>0</x:v>
      </x:c>
      <x:c r="Q4" s="64" t="str">
        <x:v>Company Total</x:v>
      </x:c>
      <x:c r="R4" s="64" t="str">
        <x:v>Generated from yearly data; replace with actual monthly revenue/COGS if available.</x:v>
      </x:c>
    </x:row>
    <x:row r="5">
      <x:c r="A5" s="64" t="n">
        <x:v>2021</x:v>
      </x:c>
      <x:c r="B5" s="64" t="n">
        <x:v>4</x:v>
      </x:c>
      <x:c r="C5" s="64" t="str">
        <x:v>Apr</x:v>
      </x:c>
      <x:c r="D5" s="64" t="str">
        <x:v>Total Company</x:v>
      </x:c>
      <x:c r="E5" s="64" t="str">
        <x:v>COMPANY_TOTAL</x:v>
      </x:c>
      <x:c r="F5" s="64" t="n">
        <x:v>3754077726.5</x:v>
      </x:c>
      <x:c r="G5" s="64" t="n">
        <x:v>1952120417.75</x:v>
      </x:c>
      <x:c r="H5" s="64" t="n">
        <x:v>0</x:v>
      </x:c>
      <x:c r="I5" s="64" t="n">
        <x:v>0</x:v>
      </x:c>
      <x:c r="J5" s="64" t="n">
        <x:v>0</x:v>
      </x:c>
      <x:c r="K5" s="64" t="n">
        <x:v>0</x:v>
      </x:c>
      <x:c r="L5" s="64" t="n">
        <x:v>0</x:v>
      </x:c>
      <x:c r="M5" s="64" t="n">
        <x:v>0</x:v>
      </x:c>
      <x:c r="N5" s="64" t="n">
        <x:v>0</x:v>
      </x:c>
      <x:c r="O5" s="64" t="n">
        <x:v>0</x:v>
      </x:c>
      <x:c r="P5" s="64" t="n">
        <x:v>0</x:v>
      </x:c>
      <x:c r="Q5" s="64" t="str">
        <x:v>Company Total</x:v>
      </x:c>
      <x:c r="R5" s="64" t="str">
        <x:v>Generated from yearly data; replace with actual monthly revenue/COGS if available.</x:v>
      </x:c>
    </x:row>
    <x:row r="6">
      <x:c r="A6" s="64" t="n">
        <x:v>2021</x:v>
      </x:c>
      <x:c r="B6" s="64" t="n">
        <x:v>5</x:v>
      </x:c>
      <x:c r="C6" s="64" t="str">
        <x:v>May</x:v>
      </x:c>
      <x:c r="D6" s="64" t="str">
        <x:v>Total Company</x:v>
      </x:c>
      <x:c r="E6" s="64" t="str">
        <x:v>COMPANY_TOTAL</x:v>
      </x:c>
      <x:c r="F6" s="64" t="n">
        <x:v>3754077726.5</x:v>
      </x:c>
      <x:c r="G6" s="64" t="n">
        <x:v>1952120417.75</x:v>
      </x:c>
      <x:c r="H6" s="64" t="n">
        <x:v>0</x:v>
      </x:c>
      <x:c r="I6" s="64" t="n">
        <x:v>0</x:v>
      </x:c>
      <x:c r="J6" s="64" t="n">
        <x:v>0</x:v>
      </x:c>
      <x:c r="K6" s="64" t="n">
        <x:v>0</x:v>
      </x:c>
      <x:c r="L6" s="64" t="n">
        <x:v>0</x:v>
      </x:c>
      <x:c r="M6" s="64" t="n">
        <x:v>0</x:v>
      </x:c>
      <x:c r="N6" s="64" t="n">
        <x:v>0</x:v>
      </x:c>
      <x:c r="O6" s="64" t="n">
        <x:v>0</x:v>
      </x:c>
      <x:c r="P6" s="64" t="n">
        <x:v>0</x:v>
      </x:c>
      <x:c r="Q6" s="64" t="str">
        <x:v>Company Total</x:v>
      </x:c>
      <x:c r="R6" s="64" t="str">
        <x:v>Generated from yearly data; replace with actual monthly revenue/COGS if available.</x:v>
      </x:c>
    </x:row>
    <x:row r="7">
      <x:c r="A7" s="64" t="n">
        <x:v>2021</x:v>
      </x:c>
      <x:c r="B7" s="64" t="n">
        <x:v>6</x:v>
      </x:c>
      <x:c r="C7" s="64" t="str">
        <x:v>Jun</x:v>
      </x:c>
      <x:c r="D7" s="64" t="str">
        <x:v>Total Company</x:v>
      </x:c>
      <x:c r="E7" s="64" t="str">
        <x:v>COMPANY_TOTAL</x:v>
      </x:c>
      <x:c r="F7" s="64" t="n">
        <x:v>3754077726.5</x:v>
      </x:c>
      <x:c r="G7" s="64" t="n">
        <x:v>1952120417.75</x:v>
      </x:c>
      <x:c r="H7" s="64" t="n">
        <x:v>0</x:v>
      </x:c>
      <x:c r="I7" s="64" t="n">
        <x:v>0</x:v>
      </x:c>
      <x:c r="J7" s="64" t="n">
        <x:v>0</x:v>
      </x:c>
      <x:c r="K7" s="64" t="n">
        <x:v>0</x:v>
      </x:c>
      <x:c r="L7" s="64" t="n">
        <x:v>0</x:v>
      </x:c>
      <x:c r="M7" s="64" t="n">
        <x:v>0</x:v>
      </x:c>
      <x:c r="N7" s="64" t="n">
        <x:v>0</x:v>
      </x:c>
      <x:c r="O7" s="64" t="n">
        <x:v>0</x:v>
      </x:c>
      <x:c r="P7" s="64" t="n">
        <x:v>0</x:v>
      </x:c>
      <x:c r="Q7" s="64" t="str">
        <x:v>Company Total</x:v>
      </x:c>
      <x:c r="R7" s="64" t="str">
        <x:v>Generated from yearly data; replace with actual monthly revenue/COGS if available.</x:v>
      </x:c>
    </x:row>
    <x:row r="8">
      <x:c r="A8" s="64" t="n">
        <x:v>2021</x:v>
      </x:c>
      <x:c r="B8" s="64" t="n">
        <x:v>7</x:v>
      </x:c>
      <x:c r="C8" s="64" t="str">
        <x:v>Jul</x:v>
      </x:c>
      <x:c r="D8" s="64" t="str">
        <x:v>Total Company</x:v>
      </x:c>
      <x:c r="E8" s="64" t="str">
        <x:v>COMPANY_TOTAL</x:v>
      </x:c>
      <x:c r="F8" s="64" t="n">
        <x:v>3754077726.5</x:v>
      </x:c>
      <x:c r="G8" s="64" t="n">
        <x:v>1952120417.75</x:v>
      </x:c>
      <x:c r="H8" s="64" t="n">
        <x:v>0</x:v>
      </x:c>
      <x:c r="I8" s="64" t="n">
        <x:v>0</x:v>
      </x:c>
      <x:c r="J8" s="64" t="n">
        <x:v>0</x:v>
      </x:c>
      <x:c r="K8" s="64" t="n">
        <x:v>0</x:v>
      </x:c>
      <x:c r="L8" s="64" t="n">
        <x:v>0</x:v>
      </x:c>
      <x:c r="M8" s="64" t="n">
        <x:v>0</x:v>
      </x:c>
      <x:c r="N8" s="64" t="n">
        <x:v>0</x:v>
      </x:c>
      <x:c r="O8" s="64" t="n">
        <x:v>0</x:v>
      </x:c>
      <x:c r="P8" s="64" t="n">
        <x:v>0</x:v>
      </x:c>
      <x:c r="Q8" s="64" t="str">
        <x:v>Company Total</x:v>
      </x:c>
      <x:c r="R8" s="64" t="str">
        <x:v>Generated from yearly data; replace with actual monthly revenue/COGS if available.</x:v>
      </x:c>
    </x:row>
    <x:row r="9">
      <x:c r="A9" s="64" t="n">
        <x:v>2021</x:v>
      </x:c>
      <x:c r="B9" s="64" t="n">
        <x:v>8</x:v>
      </x:c>
      <x:c r="C9" s="64" t="str">
        <x:v>Aug</x:v>
      </x:c>
      <x:c r="D9" s="64" t="str">
        <x:v>Total Company</x:v>
      </x:c>
      <x:c r="E9" s="64" t="str">
        <x:v>COMPANY_TOTAL</x:v>
      </x:c>
      <x:c r="F9" s="64" t="n">
        <x:v>3754077726.5</x:v>
      </x:c>
      <x:c r="G9" s="64" t="n">
        <x:v>1952120417.75</x:v>
      </x:c>
      <x:c r="H9" s="64" t="n">
        <x:v>0</x:v>
      </x:c>
      <x:c r="I9" s="64" t="n">
        <x:v>0</x:v>
      </x:c>
      <x:c r="J9" s="64" t="n">
        <x:v>0</x:v>
      </x:c>
      <x:c r="K9" s="64" t="n">
        <x:v>0</x:v>
      </x:c>
      <x:c r="L9" s="64" t="n">
        <x:v>0</x:v>
      </x:c>
      <x:c r="M9" s="64" t="n">
        <x:v>0</x:v>
      </x:c>
      <x:c r="N9" s="64" t="n">
        <x:v>0</x:v>
      </x:c>
      <x:c r="O9" s="64" t="n">
        <x:v>0</x:v>
      </x:c>
      <x:c r="P9" s="64" t="n">
        <x:v>0</x:v>
      </x:c>
      <x:c r="Q9" s="64" t="str">
        <x:v>Company Total</x:v>
      </x:c>
      <x:c r="R9" s="64" t="str">
        <x:v>Generated from yearly data; replace with actual monthly revenue/COGS if available.</x:v>
      </x:c>
    </x:row>
    <x:row r="10">
      <x:c r="A10" s="64" t="n">
        <x:v>2021</x:v>
      </x:c>
      <x:c r="B10" s="64" t="n">
        <x:v>9</x:v>
      </x:c>
      <x:c r="C10" s="64" t="str">
        <x:v>Sep</x:v>
      </x:c>
      <x:c r="D10" s="64" t="str">
        <x:v>Total Company</x:v>
      </x:c>
      <x:c r="E10" s="64" t="str">
        <x:v>COMPANY_TOTAL</x:v>
      </x:c>
      <x:c r="F10" s="64" t="n">
        <x:v>3754077726.5</x:v>
      </x:c>
      <x:c r="G10" s="64" t="n">
        <x:v>1952120417.75</x:v>
      </x:c>
      <x:c r="H10" s="64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v>0</x:v>
      </x:c>
      <x:c r="M10" s="64" t="n">
        <x:v>0</x:v>
      </x:c>
      <x:c r="N10" s="64" t="n">
        <x:v>0</x:v>
      </x:c>
      <x:c r="O10" s="64" t="n">
        <x:v>0</x:v>
      </x:c>
      <x:c r="P10" s="64" t="n">
        <x:v>0</x:v>
      </x:c>
      <x:c r="Q10" s="64" t="str">
        <x:v>Company Total</x:v>
      </x:c>
      <x:c r="R10" s="64" t="str">
        <x:v>Generated from yearly data; replace with actual monthly revenue/COGS if available.</x:v>
      </x:c>
    </x:row>
    <x:row r="11">
      <x:c r="A11" s="64" t="n">
        <x:v>2021</x:v>
      </x:c>
      <x:c r="B11" s="64" t="n">
        <x:v>10</x:v>
      </x:c>
      <x:c r="C11" s="64" t="str">
        <x:v>Oct</x:v>
      </x:c>
      <x:c r="D11" s="64" t="str">
        <x:v>Total Company</x:v>
      </x:c>
      <x:c r="E11" s="64" t="str">
        <x:v>COMPANY_TOTAL</x:v>
      </x:c>
      <x:c r="F11" s="64" t="n">
        <x:v>3754077726.5</x:v>
      </x:c>
      <x:c r="G11" s="64" t="n">
        <x:v>1952120417.75</x:v>
      </x:c>
      <x:c r="H11" s="64" t="n">
        <x:v>0</x:v>
      </x:c>
      <x:c r="I11" s="64" t="n">
        <x:v>0</x:v>
      </x:c>
      <x:c r="J11" s="64" t="n">
        <x:v>0</x:v>
      </x:c>
      <x:c r="K11" s="64" t="n">
        <x:v>0</x:v>
      </x:c>
      <x:c r="L11" s="64" t="n">
        <x:v>0</x:v>
      </x:c>
      <x:c r="M11" s="64" t="n">
        <x:v>0</x:v>
      </x:c>
      <x:c r="N11" s="64" t="n">
        <x:v>0</x:v>
      </x:c>
      <x:c r="O11" s="64" t="n">
        <x:v>0</x:v>
      </x:c>
      <x:c r="P11" s="64" t="n">
        <x:v>0</x:v>
      </x:c>
      <x:c r="Q11" s="64" t="str">
        <x:v>Company Total</x:v>
      </x:c>
      <x:c r="R11" s="64" t="str">
        <x:v>Generated from yearly data; replace with actual monthly revenue/COGS if available.</x:v>
      </x:c>
    </x:row>
    <x:row r="12">
      <x:c r="A12" s="64" t="n">
        <x:v>2021</x:v>
      </x:c>
      <x:c r="B12" s="64" t="n">
        <x:v>11</x:v>
      </x:c>
      <x:c r="C12" s="64" t="str">
        <x:v>Nov</x:v>
      </x:c>
      <x:c r="D12" s="64" t="str">
        <x:v>Total Company</x:v>
      </x:c>
      <x:c r="E12" s="64" t="str">
        <x:v>COMPANY_TOTAL</x:v>
      </x:c>
      <x:c r="F12" s="64" t="n">
        <x:v>3754077726.5</x:v>
      </x:c>
      <x:c r="G12" s="64" t="n">
        <x:v>1952120417.75</x:v>
      </x:c>
      <x:c r="H12" s="64" t="n">
        <x:v>0</x:v>
      </x:c>
      <x:c r="I12" s="64" t="n">
        <x:v>0</x:v>
      </x:c>
      <x:c r="J12" s="64" t="n">
        <x:v>0</x:v>
      </x:c>
      <x:c r="K12" s="64" t="n">
        <x:v>0</x:v>
      </x:c>
      <x:c r="L12" s="64" t="n">
        <x:v>0</x:v>
      </x:c>
      <x:c r="M12" s="64" t="n">
        <x:v>0</x:v>
      </x:c>
      <x:c r="N12" s="64" t="n">
        <x:v>0</x:v>
      </x:c>
      <x:c r="O12" s="64" t="n">
        <x:v>0</x:v>
      </x:c>
      <x:c r="P12" s="64" t="n">
        <x:v>0</x:v>
      </x:c>
      <x:c r="Q12" s="64" t="str">
        <x:v>Company Total</x:v>
      </x:c>
      <x:c r="R12" s="64" t="str">
        <x:v>Generated from yearly data; replace with actual monthly revenue/COGS if available.</x:v>
      </x:c>
    </x:row>
    <x:row r="13">
      <x:c r="A13" s="64" t="n">
        <x:v>2021</x:v>
      </x:c>
      <x:c r="B13" s="64" t="n">
        <x:v>12</x:v>
      </x:c>
      <x:c r="C13" s="64" t="str">
        <x:v>Dec</x:v>
      </x:c>
      <x:c r="D13" s="64" t="str">
        <x:v>Total Company</x:v>
      </x:c>
      <x:c r="E13" s="64" t="str">
        <x:v>COMPANY_TOTAL</x:v>
      </x:c>
      <x:c r="F13" s="64" t="n">
        <x:v>3754077726.5</x:v>
      </x:c>
      <x:c r="G13" s="64" t="n">
        <x:v>1952120417.75</x:v>
      </x:c>
      <x:c r="H13" s="64" t="n">
        <x:v>0</x:v>
      </x:c>
      <x:c r="I13" s="64" t="n">
        <x:v>0</x:v>
      </x:c>
      <x:c r="J13" s="64" t="n">
        <x:v>0</x:v>
      </x:c>
      <x:c r="K13" s="64" t="n">
        <x:v>0</x:v>
      </x:c>
      <x:c r="L13" s="64" t="n">
        <x:v>0</x:v>
      </x:c>
      <x:c r="M13" s="64" t="n">
        <x:v>0</x:v>
      </x:c>
      <x:c r="N13" s="64" t="n">
        <x:v>0</x:v>
      </x:c>
      <x:c r="O13" s="64" t="n">
        <x:v>0</x:v>
      </x:c>
      <x:c r="P13" s="64" t="n">
        <x:v>0</x:v>
      </x:c>
      <x:c r="Q13" s="64" t="str">
        <x:v>Company Total</x:v>
      </x:c>
      <x:c r="R13" s="64" t="str">
        <x:v>Generated from yearly data; replace with actual monthly revenue/COGS if available.</x:v>
      </x:c>
    </x:row>
    <x:row r="14">
      <x:c r="A14" s="64" t="n">
        <x:v>2022</x:v>
      </x:c>
      <x:c r="B14" s="64" t="n">
        <x:v>1</x:v>
      </x:c>
      <x:c r="C14" s="64" t="str">
        <x:v>Jan</x:v>
      </x:c>
      <x:c r="D14" s="64" t="str">
        <x:v>Total Company</x:v>
      </x:c>
      <x:c r="E14" s="64" t="str">
        <x:v>COMPANY_TOTAL</x:v>
      </x:c>
      <x:c r="F14" s="64" t="n">
        <x:v>4258333333.3333335</x:v>
      </x:c>
      <x:c r="G14" s="64" t="n">
        <x:v>2250000000</x:v>
      </x:c>
      <x:c r="H14" s="64" t="n">
        <x:v>0</x:v>
      </x:c>
      <x:c r="I14" s="64" t="n">
        <x:v>0</x:v>
      </x:c>
      <x:c r="J14" s="64" t="n">
        <x:v>0</x:v>
      </x:c>
      <x:c r="K14" s="64" t="n">
        <x:v>0</x:v>
      </x:c>
      <x:c r="L14" s="64" t="n">
        <x:v>0</x:v>
      </x:c>
      <x:c r="M14" s="64" t="n">
        <x:v>0</x:v>
      </x:c>
      <x:c r="N14" s="64" t="n">
        <x:v>0</x:v>
      </x:c>
      <x:c r="O14" s="64" t="n">
        <x:v>0</x:v>
      </x:c>
      <x:c r="P14" s="64" t="n">
        <x:v>0</x:v>
      </x:c>
      <x:c r="Q14" s="64" t="str">
        <x:v>Company Total</x:v>
      </x:c>
      <x:c r="R14" s="64" t="str">
        <x:v>Generated from yearly data; replace with actual monthly revenue/COGS if available.</x:v>
      </x:c>
    </x:row>
    <x:row r="15">
      <x:c r="A15" s="64" t="n">
        <x:v>2022</x:v>
      </x:c>
      <x:c r="B15" s="64" t="n">
        <x:v>2</x:v>
      </x:c>
      <x:c r="C15" s="64" t="str">
        <x:v>Feb</x:v>
      </x:c>
      <x:c r="D15" s="64" t="str">
        <x:v>Total Company</x:v>
      </x:c>
      <x:c r="E15" s="64" t="str">
        <x:v>COMPANY_TOTAL</x:v>
      </x:c>
      <x:c r="F15" s="64" t="n">
        <x:v>4258333333.3333335</x:v>
      </x:c>
      <x:c r="G15" s="64" t="n">
        <x:v>2250000000</x:v>
      </x:c>
      <x:c r="H15" s="64" t="n">
        <x:v>0</x:v>
      </x:c>
      <x:c r="I15" s="64" t="n">
        <x:v>0</x:v>
      </x:c>
      <x:c r="J15" s="64" t="n">
        <x:v>0</x:v>
      </x:c>
      <x:c r="K15" s="64" t="n">
        <x:v>0</x:v>
      </x:c>
      <x:c r="L15" s="64" t="n">
        <x:v>0</x:v>
      </x:c>
      <x:c r="M15" s="64" t="n">
        <x:v>0</x:v>
      </x:c>
      <x:c r="N15" s="64" t="n">
        <x:v>0</x:v>
      </x:c>
      <x:c r="O15" s="64" t="n">
        <x:v>0</x:v>
      </x:c>
      <x:c r="P15" s="64" t="n">
        <x:v>0</x:v>
      </x:c>
      <x:c r="Q15" s="64" t="str">
        <x:v>Company Total</x:v>
      </x:c>
      <x:c r="R15" s="64" t="str">
        <x:v>Generated from yearly data; replace with actual monthly revenue/COGS if available.</x:v>
      </x:c>
    </x:row>
    <x:row r="16">
      <x:c r="A16" s="64" t="n">
        <x:v>2022</x:v>
      </x:c>
      <x:c r="B16" s="64" t="n">
        <x:v>3</x:v>
      </x:c>
      <x:c r="C16" s="64" t="str">
        <x:v>Mar</x:v>
      </x:c>
      <x:c r="D16" s="64" t="str">
        <x:v>Total Company</x:v>
      </x:c>
      <x:c r="E16" s="64" t="str">
        <x:v>COMPANY_TOTAL</x:v>
      </x:c>
      <x:c r="F16" s="64" t="n">
        <x:v>4258333333.3333335</x:v>
      </x:c>
      <x:c r="G16" s="64" t="n">
        <x:v>2250000000</x:v>
      </x:c>
      <x:c r="H16" s="64" t="n">
        <x:v>0</x:v>
      </x:c>
      <x:c r="I16" s="64" t="n">
        <x:v>0</x:v>
      </x:c>
      <x:c r="J16" s="64" t="n">
        <x:v>0</x:v>
      </x:c>
      <x:c r="K16" s="64" t="n">
        <x:v>0</x:v>
      </x:c>
      <x:c r="L16" s="64" t="n">
        <x:v>0</x:v>
      </x:c>
      <x:c r="M16" s="64" t="n">
        <x:v>0</x:v>
      </x:c>
      <x:c r="N16" s="64" t="n">
        <x:v>0</x:v>
      </x:c>
      <x:c r="O16" s="64" t="n">
        <x:v>0</x:v>
      </x:c>
      <x:c r="P16" s="64" t="n">
        <x:v>0</x:v>
      </x:c>
      <x:c r="Q16" s="64" t="str">
        <x:v>Company Total</x:v>
      </x:c>
      <x:c r="R16" s="64" t="str">
        <x:v>Generated from yearly data; replace with actual monthly revenue/COGS if available.</x:v>
      </x:c>
    </x:row>
    <x:row r="17">
      <x:c r="A17" s="64" t="n">
        <x:v>2022</x:v>
      </x:c>
      <x:c r="B17" s="64" t="n">
        <x:v>4</x:v>
      </x:c>
      <x:c r="C17" s="64" t="str">
        <x:v>Apr</x:v>
      </x:c>
      <x:c r="D17" s="64" t="str">
        <x:v>Total Company</x:v>
      </x:c>
      <x:c r="E17" s="64" t="str">
        <x:v>COMPANY_TOTAL</x:v>
      </x:c>
      <x:c r="F17" s="64" t="n">
        <x:v>4258333333.3333335</x:v>
      </x:c>
      <x:c r="G17" s="64" t="n">
        <x:v>2250000000</x:v>
      </x:c>
      <x:c r="H17" s="64" t="n">
        <x:v>0</x:v>
      </x:c>
      <x:c r="I17" s="64" t="n">
        <x:v>0</x:v>
      </x:c>
      <x:c r="J17" s="64" t="n">
        <x:v>0</x:v>
      </x:c>
      <x:c r="K17" s="64" t="n">
        <x:v>0</x:v>
      </x:c>
      <x:c r="L17" s="64" t="n">
        <x:v>0</x:v>
      </x:c>
      <x:c r="M17" s="64" t="n">
        <x:v>0</x:v>
      </x:c>
      <x:c r="N17" s="64" t="n">
        <x:v>0</x:v>
      </x:c>
      <x:c r="O17" s="64" t="n">
        <x:v>0</x:v>
      </x:c>
      <x:c r="P17" s="64" t="n">
        <x:v>0</x:v>
      </x:c>
      <x:c r="Q17" s="64" t="str">
        <x:v>Company Total</x:v>
      </x:c>
      <x:c r="R17" s="64" t="str">
        <x:v>Generated from yearly data; replace with actual monthly revenue/COGS if available.</x:v>
      </x:c>
    </x:row>
    <x:row r="18">
      <x:c r="A18" s="64" t="n">
        <x:v>2022</x:v>
      </x:c>
      <x:c r="B18" s="64" t="n">
        <x:v>5</x:v>
      </x:c>
      <x:c r="C18" s="64" t="str">
        <x:v>May</x:v>
      </x:c>
      <x:c r="D18" s="64" t="str">
        <x:v>Total Company</x:v>
      </x:c>
      <x:c r="E18" s="64" t="str">
        <x:v>COMPANY_TOTAL</x:v>
      </x:c>
      <x:c r="F18" s="64" t="n">
        <x:v>4258333333.3333335</x:v>
      </x:c>
      <x:c r="G18" s="64" t="n">
        <x:v>2250000000</x:v>
      </x:c>
      <x:c r="H18" s="64" t="n">
        <x:v>0</x:v>
      </x:c>
      <x:c r="I18" s="64" t="n">
        <x:v>0</x:v>
      </x:c>
      <x:c r="J18" s="64" t="n">
        <x:v>0</x:v>
      </x:c>
      <x:c r="K18" s="64" t="n">
        <x:v>0</x:v>
      </x:c>
      <x:c r="L18" s="64" t="n">
        <x:v>0</x:v>
      </x:c>
      <x:c r="M18" s="64" t="n">
        <x:v>0</x:v>
      </x:c>
      <x:c r="N18" s="64" t="n">
        <x:v>0</x:v>
      </x:c>
      <x:c r="O18" s="64" t="n">
        <x:v>0</x:v>
      </x:c>
      <x:c r="P18" s="64" t="n">
        <x:v>0</x:v>
      </x:c>
      <x:c r="Q18" s="64" t="str">
        <x:v>Company Total</x:v>
      </x:c>
      <x:c r="R18" s="64" t="str">
        <x:v>Generated from yearly data; replace with actual monthly revenue/COGS if available.</x:v>
      </x:c>
    </x:row>
    <x:row r="19">
      <x:c r="A19" s="64" t="n">
        <x:v>2022</x:v>
      </x:c>
      <x:c r="B19" s="64" t="n">
        <x:v>6</x:v>
      </x:c>
      <x:c r="C19" s="64" t="str">
        <x:v>Jun</x:v>
      </x:c>
      <x:c r="D19" s="64" t="str">
        <x:v>Total Company</x:v>
      </x:c>
      <x:c r="E19" s="64" t="str">
        <x:v>COMPANY_TOTAL</x:v>
      </x:c>
      <x:c r="F19" s="64" t="n">
        <x:v>4258333333.3333335</x:v>
      </x:c>
      <x:c r="G19" s="64" t="n">
        <x:v>2250000000</x:v>
      </x:c>
      <x:c r="H19" s="64" t="n">
        <x:v>0</x:v>
      </x:c>
      <x:c r="I19" s="64" t="n">
        <x:v>0</x:v>
      </x:c>
      <x:c r="J19" s="64" t="n">
        <x:v>0</x:v>
      </x:c>
      <x:c r="K19" s="64" t="n">
        <x:v>0</x:v>
      </x:c>
      <x:c r="L19" s="64" t="n">
        <x:v>0</x:v>
      </x:c>
      <x:c r="M19" s="64" t="n">
        <x:v>0</x:v>
      </x:c>
      <x:c r="N19" s="64" t="n">
        <x:v>0</x:v>
      </x:c>
      <x:c r="O19" s="64" t="n">
        <x:v>0</x:v>
      </x:c>
      <x:c r="P19" s="64" t="n">
        <x:v>0</x:v>
      </x:c>
      <x:c r="Q19" s="64" t="str">
        <x:v>Company Total</x:v>
      </x:c>
      <x:c r="R19" s="64" t="str">
        <x:v>Generated from yearly data; replace with actual monthly revenue/COGS if available.</x:v>
      </x:c>
    </x:row>
    <x:row r="20">
      <x:c r="A20" s="64" t="n">
        <x:v>2022</x:v>
      </x:c>
      <x:c r="B20" s="64" t="n">
        <x:v>7</x:v>
      </x:c>
      <x:c r="C20" s="64" t="str">
        <x:v>Jul</x:v>
      </x:c>
      <x:c r="D20" s="64" t="str">
        <x:v>Total Company</x:v>
      </x:c>
      <x:c r="E20" s="64" t="str">
        <x:v>COMPANY_TOTAL</x:v>
      </x:c>
      <x:c r="F20" s="64" t="n">
        <x:v>4258333333.3333335</x:v>
      </x:c>
      <x:c r="G20" s="64" t="n">
        <x:v>2250000000</x:v>
      </x:c>
      <x:c r="H20" s="64" t="n">
        <x:v>0</x:v>
      </x:c>
      <x:c r="I20" s="64" t="n">
        <x:v>0</x:v>
      </x:c>
      <x:c r="J20" s="64" t="n">
        <x:v>0</x:v>
      </x:c>
      <x:c r="K20" s="64" t="n">
        <x:v>0</x:v>
      </x:c>
      <x:c r="L20" s="64" t="n">
        <x:v>0</x:v>
      </x:c>
      <x:c r="M20" s="64" t="n">
        <x:v>0</x:v>
      </x:c>
      <x:c r="N20" s="64" t="n">
        <x:v>0</x:v>
      </x:c>
      <x:c r="O20" s="64" t="n">
        <x:v>0</x:v>
      </x:c>
      <x:c r="P20" s="64" t="n">
        <x:v>0</x:v>
      </x:c>
      <x:c r="Q20" s="64" t="str">
        <x:v>Company Total</x:v>
      </x:c>
      <x:c r="R20" s="64" t="str">
        <x:v>Generated from yearly data; replace with actual monthly revenue/COGS if available.</x:v>
      </x:c>
    </x:row>
    <x:row r="21">
      <x:c r="A21" s="64" t="n">
        <x:v>2022</x:v>
      </x:c>
      <x:c r="B21" s="64" t="n">
        <x:v>8</x:v>
      </x:c>
      <x:c r="C21" s="64" t="str">
        <x:v>Aug</x:v>
      </x:c>
      <x:c r="D21" s="64" t="str">
        <x:v>Total Company</x:v>
      </x:c>
      <x:c r="E21" s="64" t="str">
        <x:v>COMPANY_TOTAL</x:v>
      </x:c>
      <x:c r="F21" s="64" t="n">
        <x:v>4258333333.3333335</x:v>
      </x:c>
      <x:c r="G21" s="64" t="n">
        <x:v>2250000000</x:v>
      </x:c>
      <x:c r="H21" s="64" t="n">
        <x:v>0</x:v>
      </x:c>
      <x:c r="I21" s="64" t="n">
        <x:v>0</x:v>
      </x:c>
      <x:c r="J21" s="64" t="n">
        <x:v>0</x:v>
      </x:c>
      <x:c r="K21" s="64" t="n">
        <x:v>0</x:v>
      </x:c>
      <x:c r="L21" s="64" t="n">
        <x:v>0</x:v>
      </x:c>
      <x:c r="M21" s="64" t="n">
        <x:v>0</x:v>
      </x:c>
      <x:c r="N21" s="64" t="n">
        <x:v>0</x:v>
      </x:c>
      <x:c r="O21" s="64" t="n">
        <x:v>0</x:v>
      </x:c>
      <x:c r="P21" s="64" t="n">
        <x:v>0</x:v>
      </x:c>
      <x:c r="Q21" s="64" t="str">
        <x:v>Company Total</x:v>
      </x:c>
      <x:c r="R21" s="64" t="str">
        <x:v>Generated from yearly data; replace with actual monthly revenue/COGS if available.</x:v>
      </x:c>
    </x:row>
    <x:row r="22">
      <x:c r="A22" s="64" t="n">
        <x:v>2022</x:v>
      </x:c>
      <x:c r="B22" s="64" t="n">
        <x:v>9</x:v>
      </x:c>
      <x:c r="C22" s="64" t="str">
        <x:v>Sep</x:v>
      </x:c>
      <x:c r="D22" s="64" t="str">
        <x:v>Total Company</x:v>
      </x:c>
      <x:c r="E22" s="64" t="str">
        <x:v>COMPANY_TOTAL</x:v>
      </x:c>
      <x:c r="F22" s="64" t="n">
        <x:v>4258333333.3333335</x:v>
      </x:c>
      <x:c r="G22" s="64" t="n">
        <x:v>2250000000</x:v>
      </x:c>
      <x:c r="H22" s="64" t="n">
        <x:v>0</x:v>
      </x:c>
      <x:c r="I22" s="64" t="n">
        <x:v>0</x:v>
      </x:c>
      <x:c r="J22" s="64" t="n">
        <x:v>0</x:v>
      </x:c>
      <x:c r="K22" s="64" t="n">
        <x:v>0</x:v>
      </x:c>
      <x:c r="L22" s="64" t="n">
        <x:v>0</x:v>
      </x:c>
      <x:c r="M22" s="64" t="n">
        <x:v>0</x:v>
      </x:c>
      <x:c r="N22" s="64" t="n">
        <x:v>0</x:v>
      </x:c>
      <x:c r="O22" s="64" t="n">
        <x:v>0</x:v>
      </x:c>
      <x:c r="P22" s="64" t="n">
        <x:v>0</x:v>
      </x:c>
      <x:c r="Q22" s="64" t="str">
        <x:v>Company Total</x:v>
      </x:c>
      <x:c r="R22" s="64" t="str">
        <x:v>Generated from yearly data; replace with actual monthly revenue/COGS if available.</x:v>
      </x:c>
    </x:row>
    <x:row r="23">
      <x:c r="A23" s="64" t="n">
        <x:v>2022</x:v>
      </x:c>
      <x:c r="B23" s="64" t="n">
        <x:v>10</x:v>
      </x:c>
      <x:c r="C23" s="64" t="str">
        <x:v>Oct</x:v>
      </x:c>
      <x:c r="D23" s="64" t="str">
        <x:v>Total Company</x:v>
      </x:c>
      <x:c r="E23" s="64" t="str">
        <x:v>COMPANY_TOTAL</x:v>
      </x:c>
      <x:c r="F23" s="64" t="n">
        <x:v>4258333333.3333335</x:v>
      </x:c>
      <x:c r="G23" s="64" t="n">
        <x:v>2250000000</x:v>
      </x:c>
      <x:c r="H23" s="64" t="n">
        <x:v>0</x:v>
      </x:c>
      <x:c r="I23" s="64" t="n">
        <x:v>0</x:v>
      </x:c>
      <x:c r="J23" s="64" t="n">
        <x:v>0</x:v>
      </x:c>
      <x:c r="K23" s="64" t="n">
        <x:v>0</x:v>
      </x:c>
      <x:c r="L23" s="64" t="n">
        <x:v>0</x:v>
      </x:c>
      <x:c r="M23" s="64" t="n">
        <x:v>0</x:v>
      </x:c>
      <x:c r="N23" s="64" t="n">
        <x:v>0</x:v>
      </x:c>
      <x:c r="O23" s="64" t="n">
        <x:v>0</x:v>
      </x:c>
      <x:c r="P23" s="64" t="n">
        <x:v>0</x:v>
      </x:c>
      <x:c r="Q23" s="64" t="str">
        <x:v>Company Total</x:v>
      </x:c>
      <x:c r="R23" s="64" t="str">
        <x:v>Generated from yearly data; replace with actual monthly revenue/COGS if available.</x:v>
      </x:c>
    </x:row>
    <x:row r="24">
      <x:c r="A24" s="64" t="n">
        <x:v>2022</x:v>
      </x:c>
      <x:c r="B24" s="64" t="n">
        <x:v>11</x:v>
      </x:c>
      <x:c r="C24" s="64" t="str">
        <x:v>Nov</x:v>
      </x:c>
      <x:c r="D24" s="64" t="str">
        <x:v>Total Company</x:v>
      </x:c>
      <x:c r="E24" s="64" t="str">
        <x:v>COMPANY_TOTAL</x:v>
      </x:c>
      <x:c r="F24" s="64" t="n">
        <x:v>4258333333.3333335</x:v>
      </x:c>
      <x:c r="G24" s="64" t="n">
        <x:v>2250000000</x:v>
      </x:c>
      <x:c r="H24" s="64" t="n">
        <x:v>0</x:v>
      </x:c>
      <x:c r="I24" s="64" t="n">
        <x:v>0</x:v>
      </x:c>
      <x:c r="J24" s="64" t="n">
        <x:v>0</x:v>
      </x:c>
      <x:c r="K24" s="64" t="n">
        <x:v>0</x:v>
      </x:c>
      <x:c r="L24" s="64" t="n">
        <x:v>0</x:v>
      </x:c>
      <x:c r="M24" s="64" t="n">
        <x:v>0</x:v>
      </x:c>
      <x:c r="N24" s="64" t="n">
        <x:v>0</x:v>
      </x:c>
      <x:c r="O24" s="64" t="n">
        <x:v>0</x:v>
      </x:c>
      <x:c r="P24" s="64" t="n">
        <x:v>0</x:v>
      </x:c>
      <x:c r="Q24" s="64" t="str">
        <x:v>Company Total</x:v>
      </x:c>
      <x:c r="R24" s="64" t="str">
        <x:v>Generated from yearly data; replace with actual monthly revenue/COGS if available.</x:v>
      </x:c>
    </x:row>
    <x:row r="25">
      <x:c r="A25" s="64" t="n">
        <x:v>2022</x:v>
      </x:c>
      <x:c r="B25" s="64" t="n">
        <x:v>12</x:v>
      </x:c>
      <x:c r="C25" s="64" t="str">
        <x:v>Dec</x:v>
      </x:c>
      <x:c r="D25" s="64" t="str">
        <x:v>Total Company</x:v>
      </x:c>
      <x:c r="E25" s="64" t="str">
        <x:v>COMPANY_TOTAL</x:v>
      </x:c>
      <x:c r="F25" s="64" t="n">
        <x:v>4258333333.3333335</x:v>
      </x:c>
      <x:c r="G25" s="64" t="n">
        <x:v>2250000000</x:v>
      </x:c>
      <x:c r="H25" s="64" t="n">
        <x:v>0</x:v>
      </x:c>
      <x:c r="I25" s="64" t="n">
        <x:v>0</x:v>
      </x:c>
      <x:c r="J25" s="64" t="n">
        <x:v>0</x:v>
      </x:c>
      <x:c r="K25" s="64" t="n">
        <x:v>0</x:v>
      </x:c>
      <x:c r="L25" s="64" t="n">
        <x:v>0</x:v>
      </x:c>
      <x:c r="M25" s="64" t="n">
        <x:v>0</x:v>
      </x:c>
      <x:c r="N25" s="64" t="n">
        <x:v>0</x:v>
      </x:c>
      <x:c r="O25" s="64" t="n">
        <x:v>0</x:v>
      </x:c>
      <x:c r="P25" s="64" t="n">
        <x:v>0</x:v>
      </x:c>
      <x:c r="Q25" s="64" t="str">
        <x:v>Company Total</x:v>
      </x:c>
      <x:c r="R25" s="64" t="str">
        <x:v>Generated from yearly data; replace with actual monthly revenue/COGS if available.</x:v>
      </x:c>
    </x:row>
    <x:row r="26">
      <x:c r="A26" s="64" t="n">
        <x:v>2023</x:v>
      </x:c>
      <x:c r="B26" s="64" t="n">
        <x:v>1</x:v>
      </x:c>
      <x:c r="C26" s="64" t="str">
        <x:v>Jan</x:v>
      </x:c>
      <x:c r="D26" s="64" t="str">
        <x:v>Total Company</x:v>
      </x:c>
      <x:c r="E26" s="64" t="str">
        <x:v>COMPANY_TOTAL</x:v>
      </x:c>
      <x:c r="F26" s="64" t="n">
        <x:v>4895833333.333333</x:v>
      </x:c>
      <x:c r="G26" s="64" t="n">
        <x:v>2708333333.3333335</x:v>
      </x:c>
      <x:c r="H26" s="64" t="n">
        <x:v>0</x:v>
      </x:c>
      <x:c r="I26" s="64" t="n">
        <x:v>0</x:v>
      </x:c>
      <x:c r="J26" s="64" t="n">
        <x:v>0</x:v>
      </x:c>
      <x:c r="K26" s="64" t="n">
        <x:v>0</x:v>
      </x:c>
      <x:c r="L26" s="64" t="n">
        <x:v>0</x:v>
      </x:c>
      <x:c r="M26" s="64" t="n">
        <x:v>0</x:v>
      </x:c>
      <x:c r="N26" s="64" t="n">
        <x:v>0</x:v>
      </x:c>
      <x:c r="O26" s="64" t="n">
        <x:v>0</x:v>
      </x:c>
      <x:c r="P26" s="64" t="n">
        <x:v>0</x:v>
      </x:c>
      <x:c r="Q26" s="64" t="str">
        <x:v>Company Total</x:v>
      </x:c>
      <x:c r="R26" s="64" t="str">
        <x:v>Generated from yearly data; replace with actual monthly revenue/COGS if available.</x:v>
      </x:c>
    </x:row>
    <x:row r="27">
      <x:c r="A27" s="64" t="n">
        <x:v>2023</x:v>
      </x:c>
      <x:c r="B27" s="64" t="n">
        <x:v>2</x:v>
      </x:c>
      <x:c r="C27" s="64" t="str">
        <x:v>Feb</x:v>
      </x:c>
      <x:c r="D27" s="64" t="str">
        <x:v>Total Company</x:v>
      </x:c>
      <x:c r="E27" s="64" t="str">
        <x:v>COMPANY_TOTAL</x:v>
      </x:c>
      <x:c r="F27" s="64" t="n">
        <x:v>4895833333.333333</x:v>
      </x:c>
      <x:c r="G27" s="64" t="n">
        <x:v>2708333333.3333335</x:v>
      </x:c>
      <x:c r="H27" s="64" t="n">
        <x:v>0</x:v>
      </x:c>
      <x:c r="I27" s="64" t="n">
        <x:v>0</x:v>
      </x:c>
      <x:c r="J27" s="64" t="n">
        <x:v>0</x:v>
      </x:c>
      <x:c r="K27" s="64" t="n">
        <x:v>0</x:v>
      </x:c>
      <x:c r="L27" s="64" t="n">
        <x:v>0</x:v>
      </x:c>
      <x:c r="M27" s="64" t="n">
        <x:v>0</x:v>
      </x:c>
      <x:c r="N27" s="64" t="n">
        <x:v>0</x:v>
      </x:c>
      <x:c r="O27" s="64" t="n">
        <x:v>0</x:v>
      </x:c>
      <x:c r="P27" s="64" t="n">
        <x:v>0</x:v>
      </x:c>
      <x:c r="Q27" s="64" t="str">
        <x:v>Company Total</x:v>
      </x:c>
      <x:c r="R27" s="64" t="str">
        <x:v>Generated from yearly data; replace with actual monthly revenue/COGS if available.</x:v>
      </x:c>
    </x:row>
    <x:row r="28">
      <x:c r="A28" s="64" t="n">
        <x:v>2023</x:v>
      </x:c>
      <x:c r="B28" s="64" t="n">
        <x:v>3</x:v>
      </x:c>
      <x:c r="C28" s="64" t="str">
        <x:v>Mar</x:v>
      </x:c>
      <x:c r="D28" s="64" t="str">
        <x:v>Total Company</x:v>
      </x:c>
      <x:c r="E28" s="64" t="str">
        <x:v>COMPANY_TOTAL</x:v>
      </x:c>
      <x:c r="F28" s="64" t="n">
        <x:v>4895833333.333333</x:v>
      </x:c>
      <x:c r="G28" s="64" t="n">
        <x:v>2708333333.3333335</x:v>
      </x:c>
      <x:c r="H28" s="64" t="n">
        <x:v>0</x:v>
      </x:c>
      <x:c r="I28" s="64" t="n">
        <x:v>0</x:v>
      </x:c>
      <x:c r="J28" s="64" t="n">
        <x:v>0</x:v>
      </x:c>
      <x:c r="K28" s="64" t="n">
        <x:v>0</x:v>
      </x:c>
      <x:c r="L28" s="64" t="n">
        <x:v>0</x:v>
      </x:c>
      <x:c r="M28" s="64" t="n">
        <x:v>0</x:v>
      </x:c>
      <x:c r="N28" s="64" t="n">
        <x:v>0</x:v>
      </x:c>
      <x:c r="O28" s="64" t="n">
        <x:v>0</x:v>
      </x:c>
      <x:c r="P28" s="64" t="n">
        <x:v>0</x:v>
      </x:c>
      <x:c r="Q28" s="64" t="str">
        <x:v>Company Total</x:v>
      </x:c>
      <x:c r="R28" s="64" t="str">
        <x:v>Generated from yearly data; replace with actual monthly revenue/COGS if available.</x:v>
      </x:c>
    </x:row>
    <x:row r="29">
      <x:c r="A29" s="64" t="n">
        <x:v>2023</x:v>
      </x:c>
      <x:c r="B29" s="64" t="n">
        <x:v>4</x:v>
      </x:c>
      <x:c r="C29" s="64" t="str">
        <x:v>Apr</x:v>
      </x:c>
      <x:c r="D29" s="64" t="str">
        <x:v>Total Company</x:v>
      </x:c>
      <x:c r="E29" s="64" t="str">
        <x:v>COMPANY_TOTAL</x:v>
      </x:c>
      <x:c r="F29" s="64" t="n">
        <x:v>4895833333.333333</x:v>
      </x:c>
      <x:c r="G29" s="64" t="n">
        <x:v>2708333333.3333335</x:v>
      </x:c>
      <x:c r="H29" s="64" t="n">
        <x:v>0</x:v>
      </x:c>
      <x:c r="I29" s="64" t="n">
        <x:v>0</x:v>
      </x:c>
      <x:c r="J29" s="64" t="n">
        <x:v>0</x:v>
      </x:c>
      <x:c r="K29" s="64" t="n">
        <x:v>0</x:v>
      </x:c>
      <x:c r="L29" s="64" t="n">
        <x:v>0</x:v>
      </x:c>
      <x:c r="M29" s="64" t="n">
        <x:v>0</x:v>
      </x:c>
      <x:c r="N29" s="64" t="n">
        <x:v>0</x:v>
      </x:c>
      <x:c r="O29" s="64" t="n">
        <x:v>0</x:v>
      </x:c>
      <x:c r="P29" s="64" t="n">
        <x:v>0</x:v>
      </x:c>
      <x:c r="Q29" s="64" t="str">
        <x:v>Company Total</x:v>
      </x:c>
      <x:c r="R29" s="64" t="str">
        <x:v>Generated from yearly data; replace with actual monthly revenue/COGS if available.</x:v>
      </x:c>
    </x:row>
    <x:row r="30">
      <x:c r="A30" s="64" t="n">
        <x:v>2023</x:v>
      </x:c>
      <x:c r="B30" s="64" t="n">
        <x:v>5</x:v>
      </x:c>
      <x:c r="C30" s="64" t="str">
        <x:v>May</x:v>
      </x:c>
      <x:c r="D30" s="64" t="str">
        <x:v>Total Company</x:v>
      </x:c>
      <x:c r="E30" s="64" t="str">
        <x:v>COMPANY_TOTAL</x:v>
      </x:c>
      <x:c r="F30" s="64" t="n">
        <x:v>4895833333.333333</x:v>
      </x:c>
      <x:c r="G30" s="64" t="n">
        <x:v>2708333333.3333335</x:v>
      </x:c>
      <x:c r="H30" s="64" t="n">
        <x:v>0</x:v>
      </x:c>
      <x:c r="I30" s="64" t="n">
        <x:v>0</x:v>
      </x:c>
      <x:c r="J30" s="64" t="n">
        <x:v>0</x:v>
      </x:c>
      <x:c r="K30" s="64" t="n">
        <x:v>0</x:v>
      </x:c>
      <x:c r="L30" s="64" t="n">
        <x:v>0</x:v>
      </x:c>
      <x:c r="M30" s="64" t="n">
        <x:v>0</x:v>
      </x:c>
      <x:c r="N30" s="64" t="n">
        <x:v>0</x:v>
      </x:c>
      <x:c r="O30" s="64" t="n">
        <x:v>0</x:v>
      </x:c>
      <x:c r="P30" s="64" t="n">
        <x:v>0</x:v>
      </x:c>
      <x:c r="Q30" s="64" t="str">
        <x:v>Company Total</x:v>
      </x:c>
      <x:c r="R30" s="64" t="str">
        <x:v>Generated from yearly data; replace with actual monthly revenue/COGS if available.</x:v>
      </x:c>
    </x:row>
    <x:row r="31">
      <x:c r="A31" s="64" t="n">
        <x:v>2023</x:v>
      </x:c>
      <x:c r="B31" s="64" t="n">
        <x:v>6</x:v>
      </x:c>
      <x:c r="C31" s="64" t="str">
        <x:v>Jun</x:v>
      </x:c>
      <x:c r="D31" s="64" t="str">
        <x:v>Total Company</x:v>
      </x:c>
      <x:c r="E31" s="64" t="str">
        <x:v>COMPANY_TOTAL</x:v>
      </x:c>
      <x:c r="F31" s="64" t="n">
        <x:v>4895833333.333333</x:v>
      </x:c>
      <x:c r="G31" s="64" t="n">
        <x:v>2708333333.3333335</x:v>
      </x:c>
      <x:c r="H31" s="64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v>0</x:v>
      </x:c>
      <x:c r="M31" s="64" t="n">
        <x:v>0</x:v>
      </x:c>
      <x:c r="N31" s="64" t="n">
        <x:v>0</x:v>
      </x:c>
      <x:c r="O31" s="64" t="n">
        <x:v>0</x:v>
      </x:c>
      <x:c r="P31" s="64" t="n">
        <x:v>0</x:v>
      </x:c>
      <x:c r="Q31" s="64" t="str">
        <x:v>Company Total</x:v>
      </x:c>
      <x:c r="R31" s="64" t="str">
        <x:v>Generated from yearly data; replace with actual monthly revenue/COGS if available.</x:v>
      </x:c>
    </x:row>
    <x:row r="32">
      <x:c r="A32" s="64" t="n">
        <x:v>2023</x:v>
      </x:c>
      <x:c r="B32" s="64" t="n">
        <x:v>7</x:v>
      </x:c>
      <x:c r="C32" s="64" t="str">
        <x:v>Jul</x:v>
      </x:c>
      <x:c r="D32" s="64" t="str">
        <x:v>Total Company</x:v>
      </x:c>
      <x:c r="E32" s="64" t="str">
        <x:v>COMPANY_TOTAL</x:v>
      </x:c>
      <x:c r="F32" s="64" t="n">
        <x:v>4895833333.333333</x:v>
      </x:c>
      <x:c r="G32" s="64" t="n">
        <x:v>2708333333.3333335</x:v>
      </x:c>
      <x:c r="H32" s="64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v>0</x:v>
      </x:c>
      <x:c r="M32" s="64" t="n">
        <x:v>0</x:v>
      </x:c>
      <x:c r="N32" s="64" t="n">
        <x:v>0</x:v>
      </x:c>
      <x:c r="O32" s="64" t="n">
        <x:v>0</x:v>
      </x:c>
      <x:c r="P32" s="64" t="n">
        <x:v>0</x:v>
      </x:c>
      <x:c r="Q32" s="64" t="str">
        <x:v>Company Total</x:v>
      </x:c>
      <x:c r="R32" s="64" t="str">
        <x:v>Generated from yearly data; replace with actual monthly revenue/COGS if available.</x:v>
      </x:c>
    </x:row>
    <x:row r="33">
      <x:c r="A33" s="64" t="n">
        <x:v>2023</x:v>
      </x:c>
      <x:c r="B33" s="64" t="n">
        <x:v>8</x:v>
      </x:c>
      <x:c r="C33" s="64" t="str">
        <x:v>Aug</x:v>
      </x:c>
      <x:c r="D33" s="64" t="str">
        <x:v>Total Company</x:v>
      </x:c>
      <x:c r="E33" s="64" t="str">
        <x:v>COMPANY_TOTAL</x:v>
      </x:c>
      <x:c r="F33" s="64" t="n">
        <x:v>4895833333.333333</x:v>
      </x:c>
      <x:c r="G33" s="64" t="n">
        <x:v>2708333333.3333335</x:v>
      </x:c>
      <x:c r="H33" s="64" t="n">
        <x:v>0</x:v>
      </x:c>
      <x:c r="I33" s="64" t="n">
        <x:v>0</x:v>
      </x:c>
      <x:c r="J33" s="64" t="n">
        <x:v>0</x:v>
      </x:c>
      <x:c r="K33" s="64" t="n">
        <x:v>0</x:v>
      </x:c>
      <x:c r="L33" s="64" t="n">
        <x:v>0</x:v>
      </x:c>
      <x:c r="M33" s="64" t="n">
        <x:v>0</x:v>
      </x:c>
      <x:c r="N33" s="64" t="n">
        <x:v>0</x:v>
      </x:c>
      <x:c r="O33" s="64" t="n">
        <x:v>0</x:v>
      </x:c>
      <x:c r="P33" s="64" t="n">
        <x:v>0</x:v>
      </x:c>
      <x:c r="Q33" s="64" t="str">
        <x:v>Company Total</x:v>
      </x:c>
      <x:c r="R33" s="64" t="str">
        <x:v>Generated from yearly data; replace with actual monthly revenue/COGS if available.</x:v>
      </x:c>
    </x:row>
    <x:row r="34">
      <x:c r="A34" s="64" t="n">
        <x:v>2023</x:v>
      </x:c>
      <x:c r="B34" s="64" t="n">
        <x:v>9</x:v>
      </x:c>
      <x:c r="C34" s="64" t="str">
        <x:v>Sep</x:v>
      </x:c>
      <x:c r="D34" s="64" t="str">
        <x:v>Total Company</x:v>
      </x:c>
      <x:c r="E34" s="64" t="str">
        <x:v>COMPANY_TOTAL</x:v>
      </x:c>
      <x:c r="F34" s="64" t="n">
        <x:v>4895833333.333333</x:v>
      </x:c>
      <x:c r="G34" s="64" t="n">
        <x:v>2708333333.3333335</x:v>
      </x:c>
      <x:c r="H34" s="64" t="n">
        <x:v>0</x:v>
      </x:c>
      <x:c r="I34" s="64" t="n">
        <x:v>0</x:v>
      </x:c>
      <x:c r="J34" s="64" t="n">
        <x:v>0</x:v>
      </x:c>
      <x:c r="K34" s="64" t="n">
        <x:v>0</x:v>
      </x:c>
      <x:c r="L34" s="64" t="n">
        <x:v>0</x:v>
      </x:c>
      <x:c r="M34" s="64" t="n">
        <x:v>0</x:v>
      </x:c>
      <x:c r="N34" s="64" t="n">
        <x:v>0</x:v>
      </x:c>
      <x:c r="O34" s="64" t="n">
        <x:v>0</x:v>
      </x:c>
      <x:c r="P34" s="64" t="n">
        <x:v>0</x:v>
      </x:c>
      <x:c r="Q34" s="64" t="str">
        <x:v>Company Total</x:v>
      </x:c>
      <x:c r="R34" s="64" t="str">
        <x:v>Generated from yearly data; replace with actual monthly revenue/COGS if available.</x:v>
      </x:c>
    </x:row>
    <x:row r="35">
      <x:c r="A35" s="64" t="n">
        <x:v>2023</x:v>
      </x:c>
      <x:c r="B35" s="64" t="n">
        <x:v>10</x:v>
      </x:c>
      <x:c r="C35" s="64" t="str">
        <x:v>Oct</x:v>
      </x:c>
      <x:c r="D35" s="64" t="str">
        <x:v>Total Company</x:v>
      </x:c>
      <x:c r="E35" s="64" t="str">
        <x:v>COMPANY_TOTAL</x:v>
      </x:c>
      <x:c r="F35" s="64" t="n">
        <x:v>4895833333.333333</x:v>
      </x:c>
      <x:c r="G35" s="64" t="n">
        <x:v>2708333333.3333335</x:v>
      </x:c>
      <x:c r="H35" s="64" t="n">
        <x:v>0</x:v>
      </x:c>
      <x:c r="I35" s="64" t="n">
        <x:v>0</x:v>
      </x:c>
      <x:c r="J35" s="64" t="n">
        <x:v>0</x:v>
      </x:c>
      <x:c r="K35" s="64" t="n">
        <x:v>0</x:v>
      </x:c>
      <x:c r="L35" s="64" t="n">
        <x:v>0</x:v>
      </x:c>
      <x:c r="M35" s="64" t="n">
        <x:v>0</x:v>
      </x:c>
      <x:c r="N35" s="64" t="n">
        <x:v>0</x:v>
      </x:c>
      <x:c r="O35" s="64" t="n">
        <x:v>0</x:v>
      </x:c>
      <x:c r="P35" s="64" t="n">
        <x:v>0</x:v>
      </x:c>
      <x:c r="Q35" s="64" t="str">
        <x:v>Company Total</x:v>
      </x:c>
      <x:c r="R35" s="64" t="str">
        <x:v>Generated from yearly data; replace with actual monthly revenue/COGS if available.</x:v>
      </x:c>
    </x:row>
    <x:row r="36">
      <x:c r="A36" s="64" t="n">
        <x:v>2023</x:v>
      </x:c>
      <x:c r="B36" s="64" t="n">
        <x:v>11</x:v>
      </x:c>
      <x:c r="C36" s="64" t="str">
        <x:v>Nov</x:v>
      </x:c>
      <x:c r="D36" s="64" t="str">
        <x:v>Total Company</x:v>
      </x:c>
      <x:c r="E36" s="64" t="str">
        <x:v>COMPANY_TOTAL</x:v>
      </x:c>
      <x:c r="F36" s="64" t="n">
        <x:v>4895833333.333333</x:v>
      </x:c>
      <x:c r="G36" s="64" t="n">
        <x:v>2708333333.3333335</x:v>
      </x:c>
      <x:c r="H36" s="64" t="n">
        <x:v>0</x:v>
      </x:c>
      <x:c r="I36" s="64" t="n">
        <x:v>0</x:v>
      </x:c>
      <x:c r="J36" s="64" t="n">
        <x:v>0</x:v>
      </x:c>
      <x:c r="K36" s="64" t="n">
        <x:v>0</x:v>
      </x:c>
      <x:c r="L36" s="64" t="n">
        <x:v>0</x:v>
      </x:c>
      <x:c r="M36" s="64" t="n">
        <x:v>0</x:v>
      </x:c>
      <x:c r="N36" s="64" t="n">
        <x:v>0</x:v>
      </x:c>
      <x:c r="O36" s="64" t="n">
        <x:v>0</x:v>
      </x:c>
      <x:c r="P36" s="64" t="n">
        <x:v>0</x:v>
      </x:c>
      <x:c r="Q36" s="64" t="str">
        <x:v>Company Total</x:v>
      </x:c>
      <x:c r="R36" s="64" t="str">
        <x:v>Generated from yearly data; replace with actual monthly revenue/COGS if available.</x:v>
      </x:c>
    </x:row>
    <x:row r="37">
      <x:c r="A37" s="64" t="n">
        <x:v>2023</x:v>
      </x:c>
      <x:c r="B37" s="64" t="n">
        <x:v>12</x:v>
      </x:c>
      <x:c r="C37" s="64" t="str">
        <x:v>Dec</x:v>
      </x:c>
      <x:c r="D37" s="64" t="str">
        <x:v>Total Company</x:v>
      </x:c>
      <x:c r="E37" s="64" t="str">
        <x:v>COMPANY_TOTAL</x:v>
      </x:c>
      <x:c r="F37" s="64" t="n">
        <x:v>4895833333.333333</x:v>
      </x:c>
      <x:c r="G37" s="64" t="n">
        <x:v>2708333333.3333335</x:v>
      </x:c>
      <x:c r="H37" s="64" t="n">
        <x:v>0</x:v>
      </x:c>
      <x:c r="I37" s="64" t="n">
        <x:v>0</x:v>
      </x:c>
      <x:c r="J37" s="64" t="n">
        <x:v>0</x:v>
      </x:c>
      <x:c r="K37" s="64" t="n">
        <x:v>0</x:v>
      </x:c>
      <x:c r="L37" s="64" t="n">
        <x:v>0</x:v>
      </x:c>
      <x:c r="M37" s="64" t="n">
        <x:v>0</x:v>
      </x:c>
      <x:c r="N37" s="64" t="n">
        <x:v>0</x:v>
      </x:c>
      <x:c r="O37" s="64" t="n">
        <x:v>0</x:v>
      </x:c>
      <x:c r="P37" s="64" t="n">
        <x:v>0</x:v>
      </x:c>
      <x:c r="Q37" s="64" t="str">
        <x:v>Company Total</x:v>
      </x:c>
      <x:c r="R37" s="64" t="str">
        <x:v>Generated from yearly data; replace with actual monthly revenue/COGS if available.</x:v>
      </x:c>
    </x:row>
    <x:row r="38">
      <x:c r="A38" s="64" t="n">
        <x:v>2024</x:v>
      </x:c>
      <x:c r="B38" s="64" t="n">
        <x:v>1</x:v>
      </x:c>
      <x:c r="C38" s="64" t="str">
        <x:v>Jan</x:v>
      </x:c>
      <x:c r="D38" s="64" t="str">
        <x:v>Total Company</x:v>
      </x:c>
      <x:c r="E38" s="64" t="str">
        <x:v>COMPANY_TOTAL</x:v>
      </x:c>
      <x:c r="F38" s="64" t="n">
        <x:v>5225000000</x:v>
      </x:c>
      <x:c r="G38" s="64" t="n">
        <x:v>2916666666.6666665</x:v>
      </x:c>
      <x:c r="H38" s="64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v>0</x:v>
      </x:c>
      <x:c r="M38" s="64" t="n">
        <x:v>0</x:v>
      </x:c>
      <x:c r="N38" s="64" t="n">
        <x:v>0</x:v>
      </x:c>
      <x:c r="O38" s="64" t="n">
        <x:v>0</x:v>
      </x:c>
      <x:c r="P38" s="64" t="n">
        <x:v>0</x:v>
      </x:c>
      <x:c r="Q38" s="64" t="str">
        <x:v>Company Total</x:v>
      </x:c>
      <x:c r="R38" s="64" t="str">
        <x:v>Generated from yearly data; replace with actual monthly revenue/COGS if available.</x:v>
      </x:c>
    </x:row>
    <x:row r="39">
      <x:c r="A39" s="64" t="n">
        <x:v>2024</x:v>
      </x:c>
      <x:c r="B39" s="64" t="n">
        <x:v>2</x:v>
      </x:c>
      <x:c r="C39" s="64" t="str">
        <x:v>Feb</x:v>
      </x:c>
      <x:c r="D39" s="64" t="str">
        <x:v>Total Company</x:v>
      </x:c>
      <x:c r="E39" s="64" t="str">
        <x:v>COMPANY_TOTAL</x:v>
      </x:c>
      <x:c r="F39" s="64" t="n">
        <x:v>5225000000</x:v>
      </x:c>
      <x:c r="G39" s="64" t="n">
        <x:v>2916666666.6666665</x:v>
      </x:c>
      <x:c r="H39" s="64" t="n">
        <x:v>0</x:v>
      </x:c>
      <x:c r="I39" s="64" t="n">
        <x:v>0</x:v>
      </x:c>
      <x:c r="J39" s="64" t="n">
        <x:v>0</x:v>
      </x:c>
      <x:c r="K39" s="64" t="n">
        <x:v>0</x:v>
      </x:c>
      <x:c r="L39" s="64" t="n">
        <x:v>0</x:v>
      </x:c>
      <x:c r="M39" s="64" t="n">
        <x:v>0</x:v>
      </x:c>
      <x:c r="N39" s="64" t="n">
        <x:v>0</x:v>
      </x:c>
      <x:c r="O39" s="64" t="n">
        <x:v>0</x:v>
      </x:c>
      <x:c r="P39" s="64" t="n">
        <x:v>0</x:v>
      </x:c>
      <x:c r="Q39" s="64" t="str">
        <x:v>Company Total</x:v>
      </x:c>
      <x:c r="R39" s="64" t="str">
        <x:v>Generated from yearly data; replace with actual monthly revenue/COGS if available.</x:v>
      </x:c>
    </x:row>
    <x:row r="40">
      <x:c r="A40" s="64" t="n">
        <x:v>2024</x:v>
      </x:c>
      <x:c r="B40" s="64" t="n">
        <x:v>3</x:v>
      </x:c>
      <x:c r="C40" s="64" t="str">
        <x:v>Mar</x:v>
      </x:c>
      <x:c r="D40" s="64" t="str">
        <x:v>Total Company</x:v>
      </x:c>
      <x:c r="E40" s="64" t="str">
        <x:v>COMPANY_TOTAL</x:v>
      </x:c>
      <x:c r="F40" s="64" t="n">
        <x:v>5225000000</x:v>
      </x:c>
      <x:c r="G40" s="64" t="n">
        <x:v>2916666666.6666665</x:v>
      </x:c>
      <x:c r="H40" s="64" t="n">
        <x:v>0</x:v>
      </x:c>
      <x:c r="I40" s="64" t="n">
        <x:v>0</x:v>
      </x:c>
      <x:c r="J40" s="64" t="n">
        <x:v>0</x:v>
      </x:c>
      <x:c r="K40" s="64" t="n">
        <x:v>0</x:v>
      </x:c>
      <x:c r="L40" s="64" t="n">
        <x:v>0</x:v>
      </x:c>
      <x:c r="M40" s="64" t="n">
        <x:v>0</x:v>
      </x:c>
      <x:c r="N40" s="64" t="n">
        <x:v>0</x:v>
      </x:c>
      <x:c r="O40" s="64" t="n">
        <x:v>0</x:v>
      </x:c>
      <x:c r="P40" s="64" t="n">
        <x:v>0</x:v>
      </x:c>
      <x:c r="Q40" s="64" t="str">
        <x:v>Company Total</x:v>
      </x:c>
      <x:c r="R40" s="64" t="str">
        <x:v>Generated from yearly data; replace with actual monthly revenue/COGS if available.</x:v>
      </x:c>
    </x:row>
    <x:row r="41">
      <x:c r="A41" s="64" t="n">
        <x:v>2024</x:v>
      </x:c>
      <x:c r="B41" s="64" t="n">
        <x:v>4</x:v>
      </x:c>
      <x:c r="C41" s="64" t="str">
        <x:v>Apr</x:v>
      </x:c>
      <x:c r="D41" s="64" t="str">
        <x:v>Total Company</x:v>
      </x:c>
      <x:c r="E41" s="64" t="str">
        <x:v>COMPANY_TOTAL</x:v>
      </x:c>
      <x:c r="F41" s="64" t="n">
        <x:v>5225000000</x:v>
      </x:c>
      <x:c r="G41" s="64" t="n">
        <x:v>2916666666.6666665</x:v>
      </x:c>
      <x:c r="H41" s="64" t="n">
        <x:v>0</x:v>
      </x:c>
      <x:c r="I41" s="64" t="n">
        <x:v>0</x:v>
      </x:c>
      <x:c r="J41" s="64" t="n">
        <x:v>0</x:v>
      </x:c>
      <x:c r="K41" s="64" t="n">
        <x:v>0</x:v>
      </x:c>
      <x:c r="L41" s="64" t="n">
        <x:v>0</x:v>
      </x:c>
      <x:c r="M41" s="64" t="n">
        <x:v>0</x:v>
      </x:c>
      <x:c r="N41" s="64" t="n">
        <x:v>0</x:v>
      </x:c>
      <x:c r="O41" s="64" t="n">
        <x:v>0</x:v>
      </x:c>
      <x:c r="P41" s="64" t="n">
        <x:v>0</x:v>
      </x:c>
      <x:c r="Q41" s="64" t="str">
        <x:v>Company Total</x:v>
      </x:c>
      <x:c r="R41" s="64" t="str">
        <x:v>Generated from yearly data; replace with actual monthly revenue/COGS if available.</x:v>
      </x:c>
    </x:row>
    <x:row r="42">
      <x:c r="A42" s="64" t="n">
        <x:v>2024</x:v>
      </x:c>
      <x:c r="B42" s="64" t="n">
        <x:v>5</x:v>
      </x:c>
      <x:c r="C42" s="64" t="str">
        <x:v>May</x:v>
      </x:c>
      <x:c r="D42" s="64" t="str">
        <x:v>Total Company</x:v>
      </x:c>
      <x:c r="E42" s="64" t="str">
        <x:v>COMPANY_TOTAL</x:v>
      </x:c>
      <x:c r="F42" s="64" t="n">
        <x:v>5225000000</x:v>
      </x:c>
      <x:c r="G42" s="64" t="n">
        <x:v>2916666666.6666665</x:v>
      </x:c>
      <x:c r="H42" s="64" t="n">
        <x:v>0</x:v>
      </x:c>
      <x:c r="I42" s="64" t="n">
        <x:v>0</x:v>
      </x:c>
      <x:c r="J42" s="64" t="n">
        <x:v>0</x:v>
      </x:c>
      <x:c r="K42" s="64" t="n">
        <x:v>0</x:v>
      </x:c>
      <x:c r="L42" s="64" t="n">
        <x:v>0</x:v>
      </x:c>
      <x:c r="M42" s="64" t="n">
        <x:v>0</x:v>
      </x:c>
      <x:c r="N42" s="64" t="n">
        <x:v>0</x:v>
      </x:c>
      <x:c r="O42" s="64" t="n">
        <x:v>0</x:v>
      </x:c>
      <x:c r="P42" s="64" t="n">
        <x:v>0</x:v>
      </x:c>
      <x:c r="Q42" s="64" t="str">
        <x:v>Company Total</x:v>
      </x:c>
      <x:c r="R42" s="64" t="str">
        <x:v>Generated from yearly data; replace with actual monthly revenue/COGS if available.</x:v>
      </x:c>
    </x:row>
    <x:row r="43">
      <x:c r="A43" s="64" t="n">
        <x:v>2024</x:v>
      </x:c>
      <x:c r="B43" s="64" t="n">
        <x:v>6</x:v>
      </x:c>
      <x:c r="C43" s="64" t="str">
        <x:v>Jun</x:v>
      </x:c>
      <x:c r="D43" s="64" t="str">
        <x:v>Total Company</x:v>
      </x:c>
      <x:c r="E43" s="64" t="str">
        <x:v>COMPANY_TOTAL</x:v>
      </x:c>
      <x:c r="F43" s="64" t="n">
        <x:v>5225000000</x:v>
      </x:c>
      <x:c r="G43" s="64" t="n">
        <x:v>2916666666.6666665</x:v>
      </x:c>
      <x:c r="H43" s="64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v>0</x:v>
      </x:c>
      <x:c r="M43" s="64" t="n">
        <x:v>0</x:v>
      </x:c>
      <x:c r="N43" s="64" t="n">
        <x:v>0</x:v>
      </x:c>
      <x:c r="O43" s="64" t="n">
        <x:v>0</x:v>
      </x:c>
      <x:c r="P43" s="64" t="n">
        <x:v>0</x:v>
      </x:c>
      <x:c r="Q43" s="64" t="str">
        <x:v>Company Total</x:v>
      </x:c>
      <x:c r="R43" s="64" t="str">
        <x:v>Generated from yearly data; replace with actual monthly revenue/COGS if available.</x:v>
      </x:c>
    </x:row>
    <x:row r="44">
      <x:c r="A44" s="64" t="n">
        <x:v>2024</x:v>
      </x:c>
      <x:c r="B44" s="64" t="n">
        <x:v>7</x:v>
      </x:c>
      <x:c r="C44" s="64" t="str">
        <x:v>Jul</x:v>
      </x:c>
      <x:c r="D44" s="64" t="str">
        <x:v>Total Company</x:v>
      </x:c>
      <x:c r="E44" s="64" t="str">
        <x:v>COMPANY_TOTAL</x:v>
      </x:c>
      <x:c r="F44" s="64" t="n">
        <x:v>5225000000</x:v>
      </x:c>
      <x:c r="G44" s="64" t="n">
        <x:v>2916666666.6666665</x:v>
      </x:c>
      <x:c r="H44" s="64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v>0</x:v>
      </x:c>
      <x:c r="M44" s="64" t="n">
        <x:v>0</x:v>
      </x:c>
      <x:c r="N44" s="64" t="n">
        <x:v>0</x:v>
      </x:c>
      <x:c r="O44" s="64" t="n">
        <x:v>0</x:v>
      </x:c>
      <x:c r="P44" s="64" t="n">
        <x:v>0</x:v>
      </x:c>
      <x:c r="Q44" s="64" t="str">
        <x:v>Company Total</x:v>
      </x:c>
      <x:c r="R44" s="64" t="str">
        <x:v>Generated from yearly data; replace with actual monthly revenue/COGS if available.</x:v>
      </x:c>
    </x:row>
    <x:row r="45">
      <x:c r="A45" s="64" t="n">
        <x:v>2024</x:v>
      </x:c>
      <x:c r="B45" s="64" t="n">
        <x:v>8</x:v>
      </x:c>
      <x:c r="C45" s="64" t="str">
        <x:v>Aug</x:v>
      </x:c>
      <x:c r="D45" s="64" t="str">
        <x:v>Total Company</x:v>
      </x:c>
      <x:c r="E45" s="64" t="str">
        <x:v>COMPANY_TOTAL</x:v>
      </x:c>
      <x:c r="F45" s="64" t="n">
        <x:v>5225000000</x:v>
      </x:c>
      <x:c r="G45" s="64" t="n">
        <x:v>2916666666.6666665</x:v>
      </x:c>
      <x:c r="H45" s="64" t="n">
        <x:v>0</x:v>
      </x:c>
      <x:c r="I45" s="64" t="n">
        <x:v>0</x:v>
      </x:c>
      <x:c r="J45" s="64" t="n">
        <x:v>0</x:v>
      </x:c>
      <x:c r="K45" s="64" t="n">
        <x:v>0</x:v>
      </x:c>
      <x:c r="L45" s="64" t="n">
        <x:v>0</x:v>
      </x:c>
      <x:c r="M45" s="64" t="n">
        <x:v>0</x:v>
      </x:c>
      <x:c r="N45" s="64" t="n">
        <x:v>0</x:v>
      </x:c>
      <x:c r="O45" s="64" t="n">
        <x:v>0</x:v>
      </x:c>
      <x:c r="P45" s="64" t="n">
        <x:v>0</x:v>
      </x:c>
      <x:c r="Q45" s="64" t="str">
        <x:v>Company Total</x:v>
      </x:c>
      <x:c r="R45" s="64" t="str">
        <x:v>Generated from yearly data; replace with actual monthly revenue/COGS if available.</x:v>
      </x:c>
    </x:row>
    <x:row r="46">
      <x:c r="A46" s="64" t="n">
        <x:v>2024</x:v>
      </x:c>
      <x:c r="B46" s="64" t="n">
        <x:v>9</x:v>
      </x:c>
      <x:c r="C46" s="64" t="str">
        <x:v>Sep</x:v>
      </x:c>
      <x:c r="D46" s="64" t="str">
        <x:v>Total Company</x:v>
      </x:c>
      <x:c r="E46" s="64" t="str">
        <x:v>COMPANY_TOTAL</x:v>
      </x:c>
      <x:c r="F46" s="64" t="n">
        <x:v>5225000000</x:v>
      </x:c>
      <x:c r="G46" s="64" t="n">
        <x:v>2916666666.6666665</x:v>
      </x:c>
      <x:c r="H46" s="64" t="n">
        <x:v>0</x:v>
      </x:c>
      <x:c r="I46" s="64" t="n">
        <x:v>0</x:v>
      </x:c>
      <x:c r="J46" s="64" t="n">
        <x:v>0</x:v>
      </x:c>
      <x:c r="K46" s="64" t="n">
        <x:v>0</x:v>
      </x:c>
      <x:c r="L46" s="64" t="n">
        <x:v>0</x:v>
      </x:c>
      <x:c r="M46" s="64" t="n">
        <x:v>0</x:v>
      </x:c>
      <x:c r="N46" s="64" t="n">
        <x:v>0</x:v>
      </x:c>
      <x:c r="O46" s="64" t="n">
        <x:v>0</x:v>
      </x:c>
      <x:c r="P46" s="64" t="n">
        <x:v>0</x:v>
      </x:c>
      <x:c r="Q46" s="64" t="str">
        <x:v>Company Total</x:v>
      </x:c>
      <x:c r="R46" s="64" t="str">
        <x:v>Generated from yearly data; replace with actual monthly revenue/COGS if available.</x:v>
      </x:c>
    </x:row>
    <x:row r="47">
      <x:c r="A47" s="64" t="n">
        <x:v>2024</x:v>
      </x:c>
      <x:c r="B47" s="64" t="n">
        <x:v>10</x:v>
      </x:c>
      <x:c r="C47" s="64" t="str">
        <x:v>Oct</x:v>
      </x:c>
      <x:c r="D47" s="64" t="str">
        <x:v>Total Company</x:v>
      </x:c>
      <x:c r="E47" s="64" t="str">
        <x:v>COMPANY_TOTAL</x:v>
      </x:c>
      <x:c r="F47" s="64" t="n">
        <x:v>5225000000</x:v>
      </x:c>
      <x:c r="G47" s="64" t="n">
        <x:v>2916666666.6666665</x:v>
      </x:c>
      <x:c r="H47" s="64" t="n">
        <x:v>0</x:v>
      </x:c>
      <x:c r="I47" s="64" t="n">
        <x:v>0</x:v>
      </x:c>
      <x:c r="J47" s="64" t="n">
        <x:v>0</x:v>
      </x:c>
      <x:c r="K47" s="64" t="n">
        <x:v>0</x:v>
      </x:c>
      <x:c r="L47" s="64" t="n">
        <x:v>0</x:v>
      </x:c>
      <x:c r="M47" s="64" t="n">
        <x:v>0</x:v>
      </x:c>
      <x:c r="N47" s="64" t="n">
        <x:v>0</x:v>
      </x:c>
      <x:c r="O47" s="64" t="n">
        <x:v>0</x:v>
      </x:c>
      <x:c r="P47" s="64" t="n">
        <x:v>0</x:v>
      </x:c>
      <x:c r="Q47" s="64" t="str">
        <x:v>Company Total</x:v>
      </x:c>
      <x:c r="R47" s="64" t="str">
        <x:v>Generated from yearly data; replace with actual monthly revenue/COGS if available.</x:v>
      </x:c>
    </x:row>
    <x:row r="48">
      <x:c r="A48" s="64" t="n">
        <x:v>2024</x:v>
      </x:c>
      <x:c r="B48" s="64" t="n">
        <x:v>11</x:v>
      </x:c>
      <x:c r="C48" s="64" t="str">
        <x:v>Nov</x:v>
      </x:c>
      <x:c r="D48" s="64" t="str">
        <x:v>Total Company</x:v>
      </x:c>
      <x:c r="E48" s="64" t="str">
        <x:v>COMPANY_TOTAL</x:v>
      </x:c>
      <x:c r="F48" s="64" t="n">
        <x:v>5225000000</x:v>
      </x:c>
      <x:c r="G48" s="64" t="n">
        <x:v>2916666666.6666665</x:v>
      </x:c>
      <x:c r="H48" s="64" t="n">
        <x:v>0</x:v>
      </x:c>
      <x:c r="I48" s="64" t="n">
        <x:v>0</x:v>
      </x:c>
      <x:c r="J48" s="64" t="n">
        <x:v>0</x:v>
      </x:c>
      <x:c r="K48" s="64" t="n">
        <x:v>0</x:v>
      </x:c>
      <x:c r="L48" s="64" t="n">
        <x:v>0</x:v>
      </x:c>
      <x:c r="M48" s="64" t="n">
        <x:v>0</x:v>
      </x:c>
      <x:c r="N48" s="64" t="n">
        <x:v>0</x:v>
      </x:c>
      <x:c r="O48" s="64" t="n">
        <x:v>0</x:v>
      </x:c>
      <x:c r="P48" s="64" t="n">
        <x:v>0</x:v>
      </x:c>
      <x:c r="Q48" s="64" t="str">
        <x:v>Company Total</x:v>
      </x:c>
      <x:c r="R48" s="64" t="str">
        <x:v>Generated from yearly data; replace with actual monthly revenue/COGS if available.</x:v>
      </x:c>
    </x:row>
    <x:row r="49">
      <x:c r="A49" s="64" t="n">
        <x:v>2024</x:v>
      </x:c>
      <x:c r="B49" s="64" t="n">
        <x:v>12</x:v>
      </x:c>
      <x:c r="C49" s="64" t="str">
        <x:v>Dec</x:v>
      </x:c>
      <x:c r="D49" s="64" t="str">
        <x:v>Total Company</x:v>
      </x:c>
      <x:c r="E49" s="64" t="str">
        <x:v>COMPANY_TOTAL</x:v>
      </x:c>
      <x:c r="F49" s="64" t="n">
        <x:v>5225000000</x:v>
      </x:c>
      <x:c r="G49" s="64" t="n">
        <x:v>2916666666.6666665</x:v>
      </x:c>
      <x:c r="H49" s="64" t="n">
        <x:v>0</x:v>
      </x:c>
      <x:c r="I49" s="64" t="n">
        <x:v>0</x:v>
      </x:c>
      <x:c r="J49" s="64" t="n">
        <x:v>0</x:v>
      </x:c>
      <x:c r="K49" s="64" t="n">
        <x:v>0</x:v>
      </x:c>
      <x:c r="L49" s="64" t="n">
        <x:v>0</x:v>
      </x:c>
      <x:c r="M49" s="64" t="n">
        <x:v>0</x:v>
      </x:c>
      <x:c r="N49" s="64" t="n">
        <x:v>0</x:v>
      </x:c>
      <x:c r="O49" s="64" t="n">
        <x:v>0</x:v>
      </x:c>
      <x:c r="P49" s="64" t="n">
        <x:v>0</x:v>
      </x:c>
      <x:c r="Q49" s="64" t="str">
        <x:v>Company Total</x:v>
      </x:c>
      <x:c r="R49" s="64" t="str">
        <x:v>Generated from yearly data; replace with actual monthly revenue/COGS if available.</x:v>
      </x:c>
    </x:row>
    <x:row r="50">
      <x:c r="A50" s="64" t="n">
        <x:v>2025</x:v>
      </x:c>
      <x:c r="B50" s="64" t="n">
        <x:v>1</x:v>
      </x:c>
      <x:c r="C50" s="64" t="str">
        <x:v>Jan</x:v>
      </x:c>
      <x:c r="D50" s="64" t="str">
        <x:v>Total Company</x:v>
      </x:c>
      <x:c r="E50" s="64" t="str">
        <x:v>COMPANY_TOTAL</x:v>
      </x:c>
      <x:c r="F50" s="64" t="n">
        <x:v>7475468644.666667</x:v>
      </x:c>
      <x:c r="G50" s="64" t="n">
        <x:v>5614049417.416667</x:v>
      </x:c>
      <x:c r="H50" s="64" t="n">
        <x:v>0</x:v>
      </x:c>
      <x:c r="I50" s="64" t="n">
        <x:v>0</x:v>
      </x:c>
      <x:c r="J50" s="64" t="n">
        <x:v>0</x:v>
      </x:c>
      <x:c r="K50" s="64" t="n">
        <x:v>0</x:v>
      </x:c>
      <x:c r="L50" s="64" t="n">
        <x:v>0</x:v>
      </x:c>
      <x:c r="M50" s="64" t="n">
        <x:v>0</x:v>
      </x:c>
      <x:c r="N50" s="64" t="n">
        <x:v>0</x:v>
      </x:c>
      <x:c r="O50" s="64" t="n">
        <x:v>0</x:v>
      </x:c>
      <x:c r="P50" s="64" t="n">
        <x:v>0</x:v>
      </x:c>
      <x:c r="Q50" s="64" t="str">
        <x:v>Company Total</x:v>
      </x:c>
      <x:c r="R50" s="64" t="str">
        <x:v>Generated from yearly data; replace with actual monthly revenue/COGS if available.</x:v>
      </x:c>
    </x:row>
    <x:row r="51">
      <x:c r="A51" s="64" t="n">
        <x:v>2025</x:v>
      </x:c>
      <x:c r="B51" s="64" t="n">
        <x:v>2</x:v>
      </x:c>
      <x:c r="C51" s="64" t="str">
        <x:v>Feb</x:v>
      </x:c>
      <x:c r="D51" s="64" t="str">
        <x:v>Total Company</x:v>
      </x:c>
      <x:c r="E51" s="64" t="str">
        <x:v>COMPANY_TOTAL</x:v>
      </x:c>
      <x:c r="F51" s="64" t="n">
        <x:v>7475468644.666667</x:v>
      </x:c>
      <x:c r="G51" s="64" t="n">
        <x:v>5614049417.416667</x:v>
      </x:c>
      <x:c r="H51" s="64" t="n">
        <x:v>0</x:v>
      </x:c>
      <x:c r="I51" s="64" t="n">
        <x:v>0</x:v>
      </x:c>
      <x:c r="J51" s="64" t="n">
        <x:v>0</x:v>
      </x:c>
      <x:c r="K51" s="64" t="n">
        <x:v>0</x:v>
      </x:c>
      <x:c r="L51" s="64" t="n">
        <x:v>0</x:v>
      </x:c>
      <x:c r="M51" s="64" t="n">
        <x:v>0</x:v>
      </x:c>
      <x:c r="N51" s="64" t="n">
        <x:v>0</x:v>
      </x:c>
      <x:c r="O51" s="64" t="n">
        <x:v>0</x:v>
      </x:c>
      <x:c r="P51" s="64" t="n">
        <x:v>0</x:v>
      </x:c>
      <x:c r="Q51" s="64" t="str">
        <x:v>Company Total</x:v>
      </x:c>
      <x:c r="R51" s="64" t="str">
        <x:v>Generated from yearly data; replace with actual monthly revenue/COGS if available.</x:v>
      </x:c>
    </x:row>
    <x:row r="52">
      <x:c r="A52" s="64" t="n">
        <x:v>2025</x:v>
      </x:c>
      <x:c r="B52" s="64" t="n">
        <x:v>3</x:v>
      </x:c>
      <x:c r="C52" s="64" t="str">
        <x:v>Mar</x:v>
      </x:c>
      <x:c r="D52" s="64" t="str">
        <x:v>Total Company</x:v>
      </x:c>
      <x:c r="E52" s="64" t="str">
        <x:v>COMPANY_TOTAL</x:v>
      </x:c>
      <x:c r="F52" s="64" t="n">
        <x:v>7475468644.666667</x:v>
      </x:c>
      <x:c r="G52" s="64" t="n">
        <x:v>5614049417.416667</x:v>
      </x:c>
      <x:c r="H52" s="64" t="n">
        <x:v>0</x:v>
      </x:c>
      <x:c r="I52" s="64" t="n">
        <x:v>0</x:v>
      </x:c>
      <x:c r="J52" s="64" t="n">
        <x:v>0</x:v>
      </x:c>
      <x:c r="K52" s="64" t="n">
        <x:v>0</x:v>
      </x:c>
      <x:c r="L52" s="64" t="n">
        <x:v>0</x:v>
      </x:c>
      <x:c r="M52" s="64" t="n">
        <x:v>0</x:v>
      </x:c>
      <x:c r="N52" s="64" t="n">
        <x:v>0</x:v>
      </x:c>
      <x:c r="O52" s="64" t="n">
        <x:v>0</x:v>
      </x:c>
      <x:c r="P52" s="64" t="n">
        <x:v>0</x:v>
      </x:c>
      <x:c r="Q52" s="64" t="str">
        <x:v>Company Total</x:v>
      </x:c>
      <x:c r="R52" s="64" t="str">
        <x:v>Generated from yearly data; replace with actual monthly revenue/COGS if available.</x:v>
      </x:c>
    </x:row>
    <x:row r="53">
      <x:c r="A53" s="64" t="n">
        <x:v>2025</x:v>
      </x:c>
      <x:c r="B53" s="64" t="n">
        <x:v>4</x:v>
      </x:c>
      <x:c r="C53" s="64" t="str">
        <x:v>Apr</x:v>
      </x:c>
      <x:c r="D53" s="64" t="str">
        <x:v>Total Company</x:v>
      </x:c>
      <x:c r="E53" s="64" t="str">
        <x:v>COMPANY_TOTAL</x:v>
      </x:c>
      <x:c r="F53" s="64" t="n">
        <x:v>7475468644.666667</x:v>
      </x:c>
      <x:c r="G53" s="64" t="n">
        <x:v>5614049417.416667</x:v>
      </x:c>
      <x:c r="H53" s="64" t="n">
        <x:v>0</x:v>
      </x:c>
      <x:c r="I53" s="64" t="n">
        <x:v>0</x:v>
      </x:c>
      <x:c r="J53" s="64" t="n">
        <x:v>0</x:v>
      </x:c>
      <x:c r="K53" s="64" t="n">
        <x:v>0</x:v>
      </x:c>
      <x:c r="L53" s="64" t="n">
        <x:v>0</x:v>
      </x:c>
      <x:c r="M53" s="64" t="n">
        <x:v>0</x:v>
      </x:c>
      <x:c r="N53" s="64" t="n">
        <x:v>0</x:v>
      </x:c>
      <x:c r="O53" s="64" t="n">
        <x:v>0</x:v>
      </x:c>
      <x:c r="P53" s="64" t="n">
        <x:v>0</x:v>
      </x:c>
      <x:c r="Q53" s="64" t="str">
        <x:v>Company Total</x:v>
      </x:c>
      <x:c r="R53" s="64" t="str">
        <x:v>Generated from yearly data; replace with actual monthly revenue/COGS if available.</x:v>
      </x:c>
    </x:row>
    <x:row r="54">
      <x:c r="A54" s="64" t="n">
        <x:v>2025</x:v>
      </x:c>
      <x:c r="B54" s="64" t="n">
        <x:v>5</x:v>
      </x:c>
      <x:c r="C54" s="64" t="str">
        <x:v>May</x:v>
      </x:c>
      <x:c r="D54" s="64" t="str">
        <x:v>Total Company</x:v>
      </x:c>
      <x:c r="E54" s="64" t="str">
        <x:v>COMPANY_TOTAL</x:v>
      </x:c>
      <x:c r="F54" s="64" t="n">
        <x:v>7475468644.666667</x:v>
      </x:c>
      <x:c r="G54" s="64" t="n">
        <x:v>5614049417.416667</x:v>
      </x:c>
      <x:c r="H54" s="64" t="n">
        <x:v>0</x:v>
      </x:c>
      <x:c r="I54" s="64" t="n">
        <x:v>0</x:v>
      </x:c>
      <x:c r="J54" s="64" t="n">
        <x:v>0</x:v>
      </x:c>
      <x:c r="K54" s="64" t="n">
        <x:v>0</x:v>
      </x:c>
      <x:c r="L54" s="64" t="n">
        <x:v>0</x:v>
      </x:c>
      <x:c r="M54" s="64" t="n">
        <x:v>0</x:v>
      </x:c>
      <x:c r="N54" s="64" t="n">
        <x:v>0</x:v>
      </x:c>
      <x:c r="O54" s="64" t="n">
        <x:v>0</x:v>
      </x:c>
      <x:c r="P54" s="64" t="n">
        <x:v>0</x:v>
      </x:c>
      <x:c r="Q54" s="64" t="str">
        <x:v>Company Total</x:v>
      </x:c>
      <x:c r="R54" s="64" t="str">
        <x:v>Generated from yearly data; replace with actual monthly revenue/COGS if available.</x:v>
      </x:c>
    </x:row>
    <x:row r="55">
      <x:c r="A55" s="64" t="n">
        <x:v>2025</x:v>
      </x:c>
      <x:c r="B55" s="64" t="n">
        <x:v>6</x:v>
      </x:c>
      <x:c r="C55" s="64" t="str">
        <x:v>Jun</x:v>
      </x:c>
      <x:c r="D55" s="64" t="str">
        <x:v>Total Company</x:v>
      </x:c>
      <x:c r="E55" s="64" t="str">
        <x:v>COMPANY_TOTAL</x:v>
      </x:c>
      <x:c r="F55" s="64" t="n">
        <x:v>7475468644.666667</x:v>
      </x:c>
      <x:c r="G55" s="64" t="n">
        <x:v>5614049417.416667</x:v>
      </x:c>
      <x:c r="H55" s="64" t="n">
        <x:v>0</x:v>
      </x:c>
      <x:c r="I55" s="64" t="n">
        <x:v>0</x:v>
      </x:c>
      <x:c r="J55" s="64" t="n">
        <x:v>0</x:v>
      </x:c>
      <x:c r="K55" s="64" t="n">
        <x:v>0</x:v>
      </x:c>
      <x:c r="L55" s="64" t="n">
        <x:v>0</x:v>
      </x:c>
      <x:c r="M55" s="64" t="n">
        <x:v>0</x:v>
      </x:c>
      <x:c r="N55" s="64" t="n">
        <x:v>0</x:v>
      </x:c>
      <x:c r="O55" s="64" t="n">
        <x:v>0</x:v>
      </x:c>
      <x:c r="P55" s="64" t="n">
        <x:v>0</x:v>
      </x:c>
      <x:c r="Q55" s="64" t="str">
        <x:v>Company Total</x:v>
      </x:c>
      <x:c r="R55" s="64" t="str">
        <x:v>Generated from yearly data; replace with actual monthly revenue/COGS if available.</x:v>
      </x:c>
    </x:row>
    <x:row r="56">
      <x:c r="A56" s="64" t="n">
        <x:v>2025</x:v>
      </x:c>
      <x:c r="B56" s="64" t="n">
        <x:v>7</x:v>
      </x:c>
      <x:c r="C56" s="64" t="str">
        <x:v>Jul</x:v>
      </x:c>
      <x:c r="D56" s="64" t="str">
        <x:v>Total Company</x:v>
      </x:c>
      <x:c r="E56" s="64" t="str">
        <x:v>COMPANY_TOTAL</x:v>
      </x:c>
      <x:c r="F56" s="64" t="n">
        <x:v>7475468644.666667</x:v>
      </x:c>
      <x:c r="G56" s="64" t="n">
        <x:v>5614049417.416667</x:v>
      </x:c>
      <x:c r="H56" s="64" t="n">
        <x:v>0</x:v>
      </x:c>
      <x:c r="I56" s="64" t="n">
        <x:v>0</x:v>
      </x:c>
      <x:c r="J56" s="64" t="n">
        <x:v>0</x:v>
      </x:c>
      <x:c r="K56" s="64" t="n">
        <x:v>0</x:v>
      </x:c>
      <x:c r="L56" s="64" t="n">
        <x:v>0</x:v>
      </x:c>
      <x:c r="M56" s="64" t="n">
        <x:v>0</x:v>
      </x:c>
      <x:c r="N56" s="64" t="n">
        <x:v>0</x:v>
      </x:c>
      <x:c r="O56" s="64" t="n">
        <x:v>0</x:v>
      </x:c>
      <x:c r="P56" s="64" t="n">
        <x:v>0</x:v>
      </x:c>
      <x:c r="Q56" s="64" t="str">
        <x:v>Company Total</x:v>
      </x:c>
      <x:c r="R56" s="64" t="str">
        <x:v>Generated from yearly data; replace with actual monthly revenue/COGS if available.</x:v>
      </x:c>
    </x:row>
    <x:row r="57">
      <x:c r="A57" s="64" t="n">
        <x:v>2025</x:v>
      </x:c>
      <x:c r="B57" s="64" t="n">
        <x:v>8</x:v>
      </x:c>
      <x:c r="C57" s="64" t="str">
        <x:v>Aug</x:v>
      </x:c>
      <x:c r="D57" s="64" t="str">
        <x:v>Total Company</x:v>
      </x:c>
      <x:c r="E57" s="64" t="str">
        <x:v>COMPANY_TOTAL</x:v>
      </x:c>
      <x:c r="F57" s="64" t="n">
        <x:v>7475468644.666667</x:v>
      </x:c>
      <x:c r="G57" s="64" t="n">
        <x:v>5614049417.416667</x:v>
      </x:c>
      <x:c r="H57" s="64" t="n">
        <x:v>0</x:v>
      </x:c>
      <x:c r="I57" s="64" t="n">
        <x:v>0</x:v>
      </x:c>
      <x:c r="J57" s="64" t="n">
        <x:v>0</x:v>
      </x:c>
      <x:c r="K57" s="64" t="n">
        <x:v>0</x:v>
      </x:c>
      <x:c r="L57" s="64" t="n">
        <x:v>0</x:v>
      </x:c>
      <x:c r="M57" s="64" t="n">
        <x:v>0</x:v>
      </x:c>
      <x:c r="N57" s="64" t="n">
        <x:v>0</x:v>
      </x:c>
      <x:c r="O57" s="64" t="n">
        <x:v>0</x:v>
      </x:c>
      <x:c r="P57" s="64" t="n">
        <x:v>0</x:v>
      </x:c>
      <x:c r="Q57" s="64" t="str">
        <x:v>Company Total</x:v>
      </x:c>
      <x:c r="R57" s="64" t="str">
        <x:v>Generated from yearly data; replace with actual monthly revenue/COGS if available.</x:v>
      </x:c>
    </x:row>
    <x:row r="58">
      <x:c r="A58" s="64" t="n">
        <x:v>2025</x:v>
      </x:c>
      <x:c r="B58" s="64" t="n">
        <x:v>9</x:v>
      </x:c>
      <x:c r="C58" s="64" t="str">
        <x:v>Sep</x:v>
      </x:c>
      <x:c r="D58" s="64" t="str">
        <x:v>Total Company</x:v>
      </x:c>
      <x:c r="E58" s="64" t="str">
        <x:v>COMPANY_TOTAL</x:v>
      </x:c>
      <x:c r="F58" s="64" t="n">
        <x:v>7475468644.666667</x:v>
      </x:c>
      <x:c r="G58" s="64" t="n">
        <x:v>5614049417.416667</x:v>
      </x:c>
      <x:c r="H58" s="64" t="n">
        <x:v>0</x:v>
      </x:c>
      <x:c r="I58" s="64" t="n">
        <x:v>0</x:v>
      </x:c>
      <x:c r="J58" s="64" t="n">
        <x:v>0</x:v>
      </x:c>
      <x:c r="K58" s="64" t="n">
        <x:v>0</x:v>
      </x:c>
      <x:c r="L58" s="64" t="n">
        <x:v>0</x:v>
      </x:c>
      <x:c r="M58" s="64" t="n">
        <x:v>0</x:v>
      </x:c>
      <x:c r="N58" s="64" t="n">
        <x:v>0</x:v>
      </x:c>
      <x:c r="O58" s="64" t="n">
        <x:v>0</x:v>
      </x:c>
      <x:c r="P58" s="64" t="n">
        <x:v>0</x:v>
      </x:c>
      <x:c r="Q58" s="64" t="str">
        <x:v>Company Total</x:v>
      </x:c>
      <x:c r="R58" s="64" t="str">
        <x:v>Generated from yearly data; replace with actual monthly revenue/COGS if available.</x:v>
      </x:c>
    </x:row>
    <x:row r="59">
      <x:c r="A59" s="64" t="n">
        <x:v>2025</x:v>
      </x:c>
      <x:c r="B59" s="64" t="n">
        <x:v>10</x:v>
      </x:c>
      <x:c r="C59" s="64" t="str">
        <x:v>Oct</x:v>
      </x:c>
      <x:c r="D59" s="64" t="str">
        <x:v>Total Company</x:v>
      </x:c>
      <x:c r="E59" s="64" t="str">
        <x:v>COMPANY_TOTAL</x:v>
      </x:c>
      <x:c r="F59" s="64" t="n">
        <x:v>7475468644.666667</x:v>
      </x:c>
      <x:c r="G59" s="64" t="n">
        <x:v>5614049417.416667</x:v>
      </x:c>
      <x:c r="H59" s="64" t="n">
        <x:v>0</x:v>
      </x:c>
      <x:c r="I59" s="64" t="n">
        <x:v>0</x:v>
      </x:c>
      <x:c r="J59" s="64" t="n">
        <x:v>0</x:v>
      </x:c>
      <x:c r="K59" s="64" t="n">
        <x:v>0</x:v>
      </x:c>
      <x:c r="L59" s="64" t="n">
        <x:v>0</x:v>
      </x:c>
      <x:c r="M59" s="64" t="n">
        <x:v>0</x:v>
      </x:c>
      <x:c r="N59" s="64" t="n">
        <x:v>0</x:v>
      </x:c>
      <x:c r="O59" s="64" t="n">
        <x:v>0</x:v>
      </x:c>
      <x:c r="P59" s="64" t="n">
        <x:v>0</x:v>
      </x:c>
      <x:c r="Q59" s="64" t="str">
        <x:v>Company Total</x:v>
      </x:c>
      <x:c r="R59" s="64" t="str">
        <x:v>Generated from yearly data; replace with actual monthly revenue/COGS if available.</x:v>
      </x:c>
    </x:row>
    <x:row r="60">
      <x:c r="A60" s="64" t="n">
        <x:v>2025</x:v>
      </x:c>
      <x:c r="B60" s="64" t="n">
        <x:v>11</x:v>
      </x:c>
      <x:c r="C60" s="64" t="str">
        <x:v>Nov</x:v>
      </x:c>
      <x:c r="D60" s="64" t="str">
        <x:v>Total Company</x:v>
      </x:c>
      <x:c r="E60" s="64" t="str">
        <x:v>COMPANY_TOTAL</x:v>
      </x:c>
      <x:c r="F60" s="64" t="n">
        <x:v>7475468644.666667</x:v>
      </x:c>
      <x:c r="G60" s="64" t="n">
        <x:v>5614049417.416667</x:v>
      </x:c>
      <x:c r="H60" s="64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v>0</x:v>
      </x:c>
      <x:c r="M60" s="64" t="n">
        <x:v>0</x:v>
      </x:c>
      <x:c r="N60" s="64" t="n">
        <x:v>0</x:v>
      </x:c>
      <x:c r="O60" s="64" t="n">
        <x:v>0</x:v>
      </x:c>
      <x:c r="P60" s="64" t="n">
        <x:v>0</x:v>
      </x:c>
      <x:c r="Q60" s="64" t="str">
        <x:v>Company Total</x:v>
      </x:c>
      <x:c r="R60" s="64" t="str">
        <x:v>Generated from yearly data; replace with actual monthly revenue/COGS if available.</x:v>
      </x:c>
    </x:row>
    <x:row r="61">
      <x:c r="A61" s="64" t="n">
        <x:v>2025</x:v>
      </x:c>
      <x:c r="B61" s="64" t="n">
        <x:v>12</x:v>
      </x:c>
      <x:c r="C61" s="64" t="str">
        <x:v>Dec</x:v>
      </x:c>
      <x:c r="D61" s="64" t="str">
        <x:v>Total Company</x:v>
      </x:c>
      <x:c r="E61" s="64" t="str">
        <x:v>COMPANY_TOTAL</x:v>
      </x:c>
      <x:c r="F61" s="64" t="n">
        <x:v>7475468644.666667</x:v>
      </x:c>
      <x:c r="G61" s="64" t="n">
        <x:v>5614049417.416667</x:v>
      </x:c>
      <x:c r="H61" s="64" t="n">
        <x:v>0</x:v>
      </x:c>
      <x:c r="I61" s="64" t="n">
        <x:v>0</x:v>
      </x:c>
      <x:c r="J61" s="64" t="n">
        <x:v>0</x:v>
      </x:c>
      <x:c r="K61" s="64" t="n">
        <x:v>0</x:v>
      </x:c>
      <x:c r="L61" s="64" t="n">
        <x:v>0</x:v>
      </x:c>
      <x:c r="M61" s="64" t="n">
        <x:v>0</x:v>
      </x:c>
      <x:c r="N61" s="64" t="n">
        <x:v>0</x:v>
      </x:c>
      <x:c r="O61" s="64" t="n">
        <x:v>0</x:v>
      </x:c>
      <x:c r="P61" s="64" t="n">
        <x:v>0</x:v>
      </x:c>
      <x:c r="Q61" s="64" t="str">
        <x:v>Company Total</x:v>
      </x:c>
      <x:c r="R61" s="64" t="str">
        <x:v>Generated from yearly data; replace with actual monthly revenue/COGS if available.</x:v>
      </x:c>
    </x:row>
    <x:row r="62">
      <x:c r="A62" s="64" t="n">
        <x:v>2026</x:v>
      </x:c>
      <x:c r="B62" s="64" t="n">
        <x:v>1</x:v>
      </x:c>
      <x:c r="C62" s="64" t="str">
        <x:v>Jan</x:v>
      </x:c>
      <x:c r="D62" s="64" t="str">
        <x:v>Total Company</x:v>
      </x:c>
      <x:c r="E62" s="64" t="str">
        <x:v>COMPANY_TOTAL</x:v>
      </x:c>
      <x:c r="F62" s="64" t="n">
        <x:v>3333333333.3333335</x:v>
      </x:c>
      <x:c r="G62" s="64" t="n">
        <x:v>2833333333.3333335</x:v>
      </x:c>
      <x:c r="H62" s="64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v>0</x:v>
      </x:c>
      <x:c r="M62" s="64" t="n">
        <x:v>0</x:v>
      </x:c>
      <x:c r="N62" s="64" t="n">
        <x:v>0</x:v>
      </x:c>
      <x:c r="O62" s="64" t="n">
        <x:v>0</x:v>
      </x:c>
      <x:c r="P62" s="64" t="n">
        <x:v>0</x:v>
      </x:c>
      <x:c r="Q62" s="64" t="str">
        <x:v>Company Total</x:v>
      </x:c>
      <x:c r="R62" s="64" t="str">
        <x:v>Generated from yearly data; replace with actual monthly revenue/COGS if available.</x:v>
      </x:c>
    </x:row>
    <x:row r="63">
      <x:c r="A63" s="64" t="n">
        <x:v>2026</x:v>
      </x:c>
      <x:c r="B63" s="64" t="n">
        <x:v>2</x:v>
      </x:c>
      <x:c r="C63" s="64" t="str">
        <x:v>Feb</x:v>
      </x:c>
      <x:c r="D63" s="64" t="str">
        <x:v>Total Company</x:v>
      </x:c>
      <x:c r="E63" s="64" t="str">
        <x:v>COMPANY_TOTAL</x:v>
      </x:c>
      <x:c r="F63" s="64" t="n">
        <x:v>3333333333.3333335</x:v>
      </x:c>
      <x:c r="G63" s="64" t="n">
        <x:v>2833333333.3333335</x:v>
      </x:c>
      <x:c r="H63" s="64" t="n">
        <x:v>0</x:v>
      </x:c>
      <x:c r="I63" s="64" t="n">
        <x:v>0</x:v>
      </x:c>
      <x:c r="J63" s="64" t="n">
        <x:v>0</x:v>
      </x:c>
      <x:c r="K63" s="64" t="n">
        <x:v>0</x:v>
      </x:c>
      <x:c r="L63" s="64" t="n">
        <x:v>0</x:v>
      </x:c>
      <x:c r="M63" s="64" t="n">
        <x:v>0</x:v>
      </x:c>
      <x:c r="N63" s="64" t="n">
        <x:v>0</x:v>
      </x:c>
      <x:c r="O63" s="64" t="n">
        <x:v>0</x:v>
      </x:c>
      <x:c r="P63" s="64" t="n">
        <x:v>0</x:v>
      </x:c>
      <x:c r="Q63" s="64" t="str">
        <x:v>Company Total</x:v>
      </x:c>
      <x:c r="R63" s="64" t="str">
        <x:v>Generated from yearly data; replace with actual monthly revenue/COGS if available.</x:v>
      </x:c>
    </x:row>
    <x:row r="64">
      <x:c r="A64" s="64" t="n">
        <x:v>2026</x:v>
      </x:c>
      <x:c r="B64" s="64" t="n">
        <x:v>3</x:v>
      </x:c>
      <x:c r="C64" s="64" t="str">
        <x:v>Mar</x:v>
      </x:c>
      <x:c r="D64" s="64" t="str">
        <x:v>Total Company</x:v>
      </x:c>
      <x:c r="E64" s="64" t="str">
        <x:v>COMPANY_TOTAL</x:v>
      </x:c>
      <x:c r="F64" s="64" t="n">
        <x:v>3333333333.3333335</x:v>
      </x:c>
      <x:c r="G64" s="64" t="n">
        <x:v>2833333333.3333335</x:v>
      </x:c>
      <x:c r="H64" s="64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v>0</x:v>
      </x:c>
      <x:c r="M64" s="64" t="n">
        <x:v>0</x:v>
      </x:c>
      <x:c r="N64" s="64" t="n">
        <x:v>0</x:v>
      </x:c>
      <x:c r="O64" s="64" t="n">
        <x:v>0</x:v>
      </x:c>
      <x:c r="P64" s="64" t="n">
        <x:v>0</x:v>
      </x:c>
      <x:c r="Q64" s="64" t="str">
        <x:v>Company Total</x:v>
      </x:c>
      <x:c r="R64" s="64" t="str">
        <x:v>Generated from yearly data; replace with actual monthly revenue/COGS if available.</x:v>
      </x:c>
    </x:row>
    <x:row r="65">
      <x:c r="A65" s="64" t="n">
        <x:v>2026</x:v>
      </x:c>
      <x:c r="B65" s="64" t="n">
        <x:v>4</x:v>
      </x:c>
      <x:c r="C65" s="64" t="str">
        <x:v>Apr</x:v>
      </x:c>
      <x:c r="D65" s="64" t="str">
        <x:v>Total Company</x:v>
      </x:c>
      <x:c r="E65" s="64" t="str">
        <x:v>COMPANY_TOTAL</x:v>
      </x:c>
      <x:c r="F65" s="64" t="n">
        <x:v>3333333333.3333335</x:v>
      </x:c>
      <x:c r="G65" s="64" t="n">
        <x:v>2833333333.3333335</x:v>
      </x:c>
      <x:c r="H65" s="64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v>0</x:v>
      </x:c>
      <x:c r="M65" s="64" t="n">
        <x:v>0</x:v>
      </x:c>
      <x:c r="N65" s="64" t="n">
        <x:v>0</x:v>
      </x:c>
      <x:c r="O65" s="64" t="n">
        <x:v>0</x:v>
      </x:c>
      <x:c r="P65" s="64" t="n">
        <x:v>0</x:v>
      </x:c>
      <x:c r="Q65" s="64" t="str">
        <x:v>Company Total</x:v>
      </x:c>
      <x:c r="R65" s="64" t="str">
        <x:v>Generated from yearly data; replace with actual monthly revenue/COGS if available.</x:v>
      </x:c>
    </x:row>
    <x:row r="66">
      <x:c r="A66" s="64" t="n">
        <x:v>2026</x:v>
      </x:c>
      <x:c r="B66" s="64" t="n">
        <x:v>5</x:v>
      </x:c>
      <x:c r="C66" s="64" t="str">
        <x:v>May</x:v>
      </x:c>
      <x:c r="D66" s="64" t="str">
        <x:v>Total Company</x:v>
      </x:c>
      <x:c r="E66" s="64" t="str">
        <x:v>COMPANY_TOTAL</x:v>
      </x:c>
      <x:c r="F66" s="64" t="n">
        <x:v>3333333333.3333335</x:v>
      </x:c>
      <x:c r="G66" s="64" t="n">
        <x:v>2833333333.3333335</x:v>
      </x:c>
      <x:c r="H66" s="64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v>0</x:v>
      </x:c>
      <x:c r="M66" s="64" t="n">
        <x:v>0</x:v>
      </x:c>
      <x:c r="N66" s="64" t="n">
        <x:v>0</x:v>
      </x:c>
      <x:c r="O66" s="64" t="n">
        <x:v>0</x:v>
      </x:c>
      <x:c r="P66" s="64" t="n">
        <x:v>0</x:v>
      </x:c>
      <x:c r="Q66" s="64" t="str">
        <x:v>Company Total</x:v>
      </x:c>
      <x:c r="R66" s="64" t="str">
        <x:v>Generated from yearly data; replace with actual monthly revenue/COGS if available.</x:v>
      </x:c>
    </x:row>
    <x:row r="67">
      <x:c r="A67" s="64" t="n">
        <x:v>2026</x:v>
      </x:c>
      <x:c r="B67" s="64" t="n">
        <x:v>6</x:v>
      </x:c>
      <x:c r="C67" s="64" t="str">
        <x:v>Jun</x:v>
      </x:c>
      <x:c r="D67" s="64" t="str">
        <x:v>Total Company</x:v>
      </x:c>
      <x:c r="E67" s="64" t="str">
        <x:v>COMPANY_TOTAL</x:v>
      </x:c>
      <x:c r="F67" s="64" t="n">
        <x:v>3333333333.3333335</x:v>
      </x:c>
      <x:c r="G67" s="64" t="n">
        <x:v>2833333333.3333335</x:v>
      </x:c>
      <x:c r="H67" s="64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v>0</x:v>
      </x:c>
      <x:c r="M67" s="64" t="n">
        <x:v>0</x:v>
      </x:c>
      <x:c r="N67" s="64" t="n">
        <x:v>0</x:v>
      </x:c>
      <x:c r="O67" s="64" t="n">
        <x:v>0</x:v>
      </x:c>
      <x:c r="P67" s="64" t="n">
        <x:v>0</x:v>
      </x:c>
      <x:c r="Q67" s="64" t="str">
        <x:v>Company Total</x:v>
      </x:c>
      <x:c r="R67" s="64" t="str">
        <x:v>Generated from yearly data; replace with actual monthly revenue/COGS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097a20cfe18a490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6" hidden="0" customWidth="1"/>
    <x:col min="4" max="4" width="60" hidden="0" customWidth="1"/>
  </x:cols>
  <x:sheetData>
    <x:row r="1">
      <x:c r="A1" s="90" t="str">
        <x:v>Topic</x:v>
      </x:c>
      <x:c r="B1" s="90" t="str">
        <x:v>What Changed</x:v>
      </x:c>
      <x:c r="C1" s="90" t="str">
        <x:v>Impact</x:v>
      </x:c>
      <x:c r="D1" s="90" t="str">
        <x:v>How to Use</x:v>
      </x:c>
    </x:row>
    <x:row r="2">
      <x:c r="A2" s="64" t="str">
        <x:v>YTD Comparable with MONTHLY_KPI</x:v>
      </x:c>
      <x:c r="B2" s="64" t="str">
        <x:v>Dashboard now reads actual monthly data up to Months_Closed.</x:v>
      </x:c>
      <x:c r="C2" s="64" t="str">
        <x:v>Gross Margin, MCR, RPE, Board Score, Hiring Decision, CEO One-Page, and Executive Closing will change based on monthly actuals.</x:v>
      </x:c>
      <x:c r="D2" s="64" t="str">
        <x:v>Fill MONTHLY_KPI with Jan-Jun 2025 and Jan-Jun 2026 actual data for true apple-to-apple comparison.</x:v>
      </x:c>
    </x:row>
    <x:row r="3">
      <x:c r="A3" s="64" t="str">
        <x:v>Fallback Logic</x:v>
      </x:c>
      <x:c r="B3" s="64" t="str">
        <x:v>If MONTHLY_KPI is missing/blank, dashboard uses FY proxy.</x:v>
      </x:c>
      <x:c r="C3" s="64" t="str">
        <x:v>2025 is approximated as 6/12 of FY 2025 when 2026 Months_Closed=6.</x:v>
      </x:c>
      <x:c r="D3" s="64" t="str">
        <x:v>Use fallback only when actual monthly data is not available.</x:v>
      </x:c>
    </x:row>
    <x:row r="4">
      <x:c r="A4" s="64" t="str">
        <x:v>Revenue/COGS Rows</x:v>
      </x:c>
      <x:c r="B4" s="64" t="str">
        <x:v>Use Dept_ID = COMPANY_TOTAL for company revenue/COGS.</x:v>
      </x:c>
      <x:c r="C4" s="64" t="str">
        <x:v>Prevents double counting revenue by department.</x:v>
      </x:c>
      <x:c r="D4" s="64" t="str">
        <x:v>Replace generated equal monthly split with real monthly figures.</x:v>
      </x:c>
    </x:row>
    <x:row r="5">
      <x:c r="A5" s="64" t="str">
        <x:v>Headcount/Payroll Rows</x:v>
      </x:c>
      <x:c r="B5" s="64" t="str">
        <x:v>Use real Dept_ID for department HC and manpower cost.</x:v>
      </x:c>
      <x:c r="C5" s="64" t="str">
        <x:v>MCR and department productivity become month-level actual.</x:v>
      </x:c>
      <x:c r="D5" s="64" t="str">
        <x:v>Replace generated monthly split with real payroll and HC figures.</x:v>
      </x:c>
    </x:row>
    <x:row r="6">
      <x:c r="A6" s="64" t="str">
        <x:v>Annual Projection</x:v>
      </x:c>
      <x:c r="B6" s="64" t="str">
        <x:v>Still uses 12 / Months_Closed.</x:v>
      </x:c>
      <x:c r="C6" s="64" t="str">
        <x:v>If 2026 Months_Closed=6, annual projection factor is 2; if 4, factor is 3.</x:v>
      </x:c>
      <x:c r="D6" s="64" t="str">
        <x:v>Change CALENDAR Months_Closed.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8" hidden="0" customWidth="1"/>
    <x:col min="5" max="5" width="42" hidden="0" customWidth="1"/>
    <x:col min="6" max="6" width="16" hidden="0" customWidth="1"/>
    <x:col min="7" max="7" width="22" hidden="0" customWidth="1"/>
    <x:col min="8" max="8" width="18" hidden="0" customWidth="1"/>
  </x:cols>
  <x:sheetData>
    <x:row r="1">
      <x:c r="A1" s="108" t="str">
        <x:v>KPI Target Framework</x:v>
      </x:c>
      <x:c r="B1" s="108" t="str">
        <x:v>Based on Telecommunications &amp; IT System Integrator Benchmark</x:v>
      </x:c>
      <x:c r="C1" s="108" t="str"/>
      <x:c r="D1" s="108" t="str"/>
      <x:c r="E1" s="108" t="str"/>
      <x:c r="F1" s="108" t="str"/>
      <x:c r="G1" s="108" t="str"/>
      <x:c r="H1" s="108" t="str"/>
    </x:row>
    <x:row r="2">
      <x:c r="A2" s="107" t="str">
        <x:v>KPI</x:v>
      </x:c>
      <x:c r="B2" s="107" t="str">
        <x:v>Framework Target</x:v>
      </x:c>
      <x:c r="C2" s="107" t="str">
        <x:v>Status Logic</x:v>
      </x:c>
      <x:c r="D2" s="107" t="str">
        <x:v>Benchmark Basis</x:v>
      </x:c>
      <x:c r="E2" s="107" t="str">
        <x:v>Why It Matters</x:v>
      </x:c>
      <x:c r="F2" s="107" t="str">
        <x:v>Confidence</x:v>
      </x:c>
      <x:c r="G2" s="107" t="str">
        <x:v>Governance Owner</x:v>
      </x:c>
      <x:c r="H2" s="107" t="str">
        <x:v>Review Cycle</x:v>
      </x:c>
    </x:row>
    <x:row r="3">
      <x:c r="A3" s="64" t="str">
        <x:v>Revenue Growth</x:v>
      </x:c>
      <x:c r="B3" s="64" t="str">
        <x:v>15–25% Healthy; &gt;25% Strong</x:v>
      </x:c>
      <x:c r="C3" s="64" t="str">
        <x:v>&lt;0% Critical; 0–5% Pressure; 5–15% Watch; 15–25% Healthy; &gt;25% Strong</x:v>
      </x:c>
      <x:c r="D3" s="64" t="str">
        <x:v>Annual report peer comparison + management growth target</x:v>
      </x:c>
      <x:c r="E3" s="64" t="str">
        <x:v>Measures business growth momentum</x:v>
      </x:c>
      <x:c r="F3" s="64" t="str">
        <x:v>High</x:v>
      </x:c>
      <x:c r="G3" s="64" t="str">
        <x:v>Finance / CEO</x:v>
      </x:c>
      <x:c r="H3" s="64" t="str">
        <x:v>Quarterly</x:v>
      </x:c>
    </x:row>
    <x:row r="4">
      <x:c r="A4" s="64" t="str">
        <x:v>RPE Growth</x:v>
      </x:c>
      <x:c r="B4" s="64" t="str">
        <x:v>&gt;=15% Strong</x:v>
      </x:c>
      <x:c r="C4" s="64" t="str">
        <x:v>&lt;0% Critical; 0–8% Watch; 8–15% Healthy; &gt;=15% Strong</x:v>
      </x:c>
      <x:c r="D4" s="64" t="str">
        <x:v>Human capital productivity benchmark + internal trend</x:v>
      </x:c>
      <x:c r="E4" s="64" t="str">
        <x:v>Measures productivity per employee</x:v>
      </x:c>
      <x:c r="F4" s="64" t="str">
        <x:v>Medium</x:v>
      </x:c>
      <x:c r="G4" s="64" t="str">
        <x:v>HR / Finance</x:v>
      </x:c>
      <x:c r="H4" s="64" t="str">
        <x:v>Quarterly</x:v>
      </x:c>
    </x:row>
    <x:row r="5">
      <x:c r="A5" s="64" t="str">
        <x:v>Headcount Growth</x:v>
      </x:c>
      <x:c r="B5" s="64" t="str">
        <x:v>&lt;=10% Controlled</x:v>
      </x:c>
      <x:c r="C5" s="64" t="str">
        <x:v>&lt;=5% Lean; 5–10% Healthy; 10–20% Expansion; &gt;20% Aggressive</x:v>
      </x:c>
      <x:c r="D5" s="64" t="str">
        <x:v>Workforce planning and organization design practice</x:v>
      </x:c>
      <x:c r="E5" s="64" t="str">
        <x:v>Controls fixed cost expansion</x:v>
      </x:c>
      <x:c r="F5" s="64" t="str">
        <x:v>Medium</x:v>
      </x:c>
      <x:c r="G5" s="64" t="str">
        <x:v>HR</x:v>
      </x:c>
      <x:c r="H5" s="64" t="str">
        <x:v>Quarterly</x:v>
      </x:c>
    </x:row>
    <x:row r="6">
      <x:c r="A6" s="64" t="str">
        <x:v>MCR</x:v>
      </x:c>
      <x:c r="B6" s="64" t="str">
        <x:v>5–7% Healthy; 7–9% Watch</x:v>
      </x:c>
      <x:c r="C6" s="64" t="str">
        <x:v>&lt;5% Ultra Efficient; 5–7% Healthy; 7–9% Watch; 9–14% Cost Pressure; &gt;14% Critical</x:v>
      </x:c>
      <x:c r="D6" s="64" t="str">
        <x:v>Internal management benchmark for project-based telco/IT integrator</x:v>
      </x:c>
      <x:c r="E6" s="64" t="str">
        <x:v>Measures people-cost leverage against revenue</x:v>
      </x:c>
      <x:c r="F6" s="64" t="str">
        <x:v>Medium</x:v>
      </x:c>
      <x:c r="G6" s="64" t="str">
        <x:v>Finance / HR</x:v>
      </x:c>
      <x:c r="H6" s="64" t="str">
        <x:v>Monthly</x:v>
      </x:c>
    </x:row>
    <x:row r="7">
      <x:c r="A7" s="64" t="str">
        <x:v>Gross Margin</x:v>
      </x:c>
      <x:c r="B7" s="64" t="str">
        <x:v>20–30% Healthy; &gt;30% Strong</x:v>
      </x:c>
      <x:c r="C7" s="64" t="str">
        <x:v>&lt;10% Critical; 10–15% Pressure; 15–20% Watch; 20–30% Healthy; &gt;30% Strong</x:v>
      </x:c>
      <x:c r="D7" s="64" t="str">
        <x:v>Telco/IT integrator project margin benchmark + internal historical trend</x:v>
      </x:c>
      <x:c r="E7" s="64" t="str">
        <x:v>Measures revenue quality after direct cost</x:v>
      </x:c>
      <x:c r="F7" s="64" t="str">
        <x:v>Medium</x:v>
      </x:c>
      <x:c r="G7" s="64" t="str">
        <x:v>Finance / Operations</x:v>
      </x:c>
      <x:c r="H7" s="64" t="str">
        <x:v>Monthly</x:v>
      </x:c>
    </x:row>
    <x:row r="8">
      <x:c r="A8" s="64" t="str">
        <x:v>Capacity Utilization</x:v>
      </x:c>
      <x:c r="B8" s="64" t="str">
        <x:v>75–85% Optimal</x:v>
      </x:c>
      <x:c r="C8" s="64" t="str">
        <x:v>&lt;75% Available Capacity; 75–85% Optimal; 85–90% Watch; &gt;90% Overload Risk</x:v>
      </x:c>
      <x:c r="D8" s="64" t="str">
        <x:v>Service operations and capacity planning practice</x:v>
      </x:c>
      <x:c r="E8" s="64" t="str">
        <x:v>Detects overload and delivery risk</x:v>
      </x:c>
      <x:c r="F8" s="64" t="str">
        <x:v>Medium</x:v>
      </x:c>
      <x:c r="G8" s="64" t="str">
        <x:v>Operations / HR</x:v>
      </x:c>
      <x:c r="H8" s="64" t="str">
        <x:v>Monthly</x:v>
      </x:c>
    </x:row>
    <x:row r="9">
      <x:c r="A9" s="64" t="str">
        <x:v>Capacity Score</x:v>
      </x:c>
      <x:c r="B9" s="64" t="str">
        <x:v>0–30 Low</x:v>
      </x:c>
      <x:c r="C9" s="64" t="str">
        <x:v>0–30 Low; 31–55 Medium; 56–75 High; 76–100 Critical</x:v>
      </x:c>
      <x:c r="D9" s="64" t="str">
        <x:v>Internal risk scoring based on utilization, overtime, backlog, SLA, turnover, dependency</x:v>
      </x:c>
      <x:c r="E9" s="64" t="str">
        <x:v>Summarizes delivery and capacity risk</x:v>
      </x:c>
      <x:c r="F9" s="64" t="str">
        <x:v>Medium</x:v>
      </x:c>
      <x:c r="G9" s="64" t="str">
        <x:v>Operations</x:v>
      </x:c>
      <x:c r="H9" s="64" t="str">
        <x:v>Monthly</x:v>
      </x:c>
    </x:row>
    <x:row r="10">
      <x:c r="A10" s="64" t="str">
        <x:v>Support Cost Share</x:v>
      </x:c>
      <x:c r="B10" s="64" t="str">
        <x:v>Monitor trend</x:v>
      </x:c>
      <x:c r="C10" s="64" t="str">
        <x:v>Rising support share without RPE improvement = review</x:v>
      </x:c>
      <x:c r="D10" s="64" t="str">
        <x:v>Organization leverage practice</x:v>
      </x:c>
      <x:c r="E10" s="64" t="str">
        <x:v>Prevents support cost from weakening operating leverage</x:v>
      </x:c>
      <x:c r="F10" s="64" t="str">
        <x:v>Medium</x:v>
      </x:c>
      <x:c r="G10" s="64" t="str">
        <x:v>HR / Finance</x:v>
      </x:c>
      <x:c r="H10" s="64" t="str">
        <x:v>Quarterly</x:v>
      </x:c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</x:row>
    <x:row r="12">
      <x:c r="A12" s="64" t="str">
        <x:v>Methodology</x:v>
      </x:c>
      <x:c r="B12" s="64" t="str">
        <x:v>Benchmark target = external reference + peer annual report review + internal historical trend + management risk appetite</x:v>
      </x:c>
      <x:c r="C12" s="64" t="str"/>
      <x:c r="D12" s="64" t="str"/>
      <x:c r="E12" s="64" t="str"/>
      <x:c r="F12" s="64" t="str"/>
      <x:c r="G12" s="64" t="str"/>
      <x:c r="H12" s="64" t="str"/>
    </x:row>
    <x:row r="13">
      <x:c r="A13" s="64" t="str">
        <x:v>Important Note</x:v>
      </x:c>
      <x:c r="B13" s="64" t="str">
        <x:v>This framework is a management benchmark, not a statutory or regulatory standard.</x:v>
      </x:c>
      <x:c r="C13" s="64" t="str"/>
      <x:c r="D13" s="64" t="str"/>
      <x:c r="E13" s="64" t="str"/>
      <x:c r="F13" s="64" t="str"/>
      <x:c r="G13" s="64" t="str"/>
      <x:c r="H13" s="64" t="str"/>
    </x:row>
    <x:row r="14">
      <x:c r="A14" s="64" t="str">
        <x:v>Benchmark Sources to Track</x:v>
      </x:c>
      <x:c r="B14" s="64" t="str">
        <x:v>Telco &amp; IT integrator annual reports; APQC; Saratoga/PwC Human Capital Benchmark; Gartner; Deloitte; McKinsey; BCG; internal historical performance</x:v>
      </x:c>
      <x:c r="C14" s="64" t="str"/>
      <x:c r="D14" s="64" t="str"/>
      <x:c r="E14" s="64" t="str"/>
      <x:c r="F14" s="64" t="str"/>
      <x:c r="G14" s="64" t="str"/>
      <x:c r="H14" s="64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38" hidden="0" customWidth="1"/>
    <x:col min="5" max="5" width="24" hidden="0" customWidth="1"/>
  </x:cols>
  <x:sheetData>
    <x:row r="1">
      <x:c r="A1" s="107" t="str">
        <x:v>KPI</x:v>
      </x:c>
      <x:c r="B1" s="107" t="str">
        <x:v>Formula</x:v>
      </x:c>
      <x:c r="C1" s="107" t="str">
        <x:v>Interpretation</x:v>
      </x:c>
      <x:c r="D1" s="107" t="str">
        <x:v>Primary Sheet</x:v>
      </x:c>
      <x:c r="E1" s="107" t="str">
        <x:v>Owner</x:v>
      </x:c>
    </x:row>
    <x:row r="2">
      <x:c r="A2" s="64" t="str">
        <x:v>MCR</x:v>
      </x:c>
      <x:c r="B2" s="64" t="str">
        <x:v>Total_Manpower_Cost / Total_Revenue</x:v>
      </x:c>
      <x:c r="C2" s="64" t="str">
        <x:v>Porsi biaya manpower terhadap revenue</x:v>
      </x:c>
      <x:c r="D2" s="64" t="str">
        <x:v>PAYROLL_YR + REVENUE_YR / MONTHLY_KPI</x:v>
      </x:c>
      <x:c r="E2" s="64" t="str">
        <x:v>Finance / HR</x:v>
      </x:c>
    </x:row>
    <x:row r="3">
      <x:c r="A3" s="64" t="str">
        <x:v>RPE</x:v>
      </x:c>
      <x:c r="B3" s="64" t="str">
        <x:v>Total_Revenue / Average Headcount</x:v>
      </x:c>
      <x:c r="C3" s="64" t="str">
        <x:v>Revenue per employee</x:v>
      </x:c>
      <x:c r="D3" s="64" t="str">
        <x:v>REVENUE_YR + HEADCOUNT_YR / MONTHLY_KPI</x:v>
      </x:c>
      <x:c r="E3" s="64" t="str">
        <x:v>HR / Finance</x:v>
      </x:c>
    </x:row>
    <x:row r="4">
      <x:c r="A4" s="64" t="str">
        <x:v>Gross Margin</x:v>
      </x:c>
      <x:c r="B4" s="64" t="str">
        <x:v>(Revenue - COGS) / Revenue</x:v>
      </x:c>
      <x:c r="C4" s="64" t="str">
        <x:v>Kualitas revenue setelah direct cost</x:v>
      </x:c>
      <x:c r="D4" s="64" t="str">
        <x:v>REVENUE_YR / MONTHLY_KPI</x:v>
      </x:c>
      <x:c r="E4" s="64" t="str">
        <x:v>Finance / Operations</x:v>
      </x:c>
    </x:row>
    <x:row r="5">
      <x:c r="A5" s="64" t="str">
        <x:v>Cost per HC</x:v>
      </x:c>
      <x:c r="B5" s="64" t="str">
        <x:v>Total_Manpower_Cost / Average Headcount</x:v>
      </x:c>
      <x:c r="C5" s="64" t="str">
        <x:v>Rata-rata biaya manpower per orang</x:v>
      </x:c>
      <x:c r="D5" s="64" t="str">
        <x:v>PAYROLL_YR + HEADCOUNT_YR</x:v>
      </x:c>
      <x:c r="E5" s="64" t="str">
        <x:v>HR / Finance</x:v>
      </x:c>
    </x:row>
    <x:row r="6">
      <x:c r="A6" s="64" t="str">
        <x:v>Capacity Score</x:v>
      </x:c>
      <x:c r="B6" s="64" t="str">
        <x:v>Weighted score: utilization, overtime, backlog, SLA, turnover, dependency</x:v>
      </x:c>
      <x:c r="C6" s="64" t="str">
        <x:v>Risiko overload delivery capacity</x:v>
      </x:c>
      <x:c r="D6" s="64" t="str">
        <x:v>CAPACITY_INDICATOR</x:v>
      </x:c>
      <x:c r="E6" s="64" t="str">
        <x:v>Operations</x:v>
      </x:c>
    </x:row>
    <x:row r="7">
      <x:c r="A7" s="64" t="str">
        <x:v>Revenue per Payroll</x:v>
      </x:c>
      <x:c r="B7" s="64" t="str">
        <x:v>Revenue / Total_Manpower_Cost</x:v>
      </x:c>
      <x:c r="C7" s="64" t="str">
        <x:v>Revenue yang dihasilkan per 1 rupiah payroll</x:v>
      </x:c>
      <x:c r="D7" s="64" t="str">
        <x:v>REVENUE_YR + PAYROLL_YR</x:v>
      </x:c>
      <x:c r="E7" s="64" t="str">
        <x:v>Finance</x:v>
      </x:c>
    </x:row>
    <x:row r="9">
      <x:c r="A9" s="64" t="str">
        <x:v>Project Revenue Share</x:v>
      </x:c>
      <x:c r="B9" s="64" t="str">
        <x:v>Project_Category Revenue / Total Project Revenue</x:v>
      </x:c>
      <x:c r="C9" s="64" t="str">
        <x:v>Kontribusi revenue per service line/project type</x:v>
      </x:c>
      <x:c r="D9" s="64" t="str">
        <x:v>PROJECT_PRODUCTIVITY</x:v>
      </x:c>
      <x:c r="E9" s="64" t="str">
        <x:v>Sales / Operations</x:v>
      </x:c>
    </x:row>
    <x:row r="10">
      <x:c r="A10" s="64" t="str">
        <x:v>Project MCR</x:v>
      </x:c>
      <x:c r="B10" s="64" t="str">
        <x:v>Project Manpower Cost / Project Revenue</x:v>
      </x:c>
      <x:c r="C10" s="64" t="str">
        <x:v>Efisiensi manpower per service line</x:v>
      </x:c>
      <x:c r="D10" s="64" t="str">
        <x:v>PROJECT_PRODUCTIVITY</x:v>
      </x:c>
      <x:c r="E10" s="64" t="str">
        <x:v>Operations / HR</x:v>
      </x:c>
    </x:row>
    <x:row r="11">
      <x:c r="A11" s="64" t="str">
        <x:v>Project Revenue per HC</x:v>
      </x:c>
      <x:c r="B11" s="64" t="str">
        <x:v>Project Revenue / HC Allocated</x:v>
      </x:c>
      <x:c r="C11" s="64" t="str">
        <x:v>Produktivitas manpower per project/service line</x:v>
      </x:c>
      <x:c r="D11" s="64" t="str">
        <x:v>PROJECT_PRODUCTIVITY</x:v>
      </x:c>
      <x:c r="E11" s="64" t="str">
        <x:v>Operations / HR</x:v>
      </x:c>
    </x:row>
    <x:row r="12">
      <x:c r="A12" s="64" t="str">
        <x:v>Project Revenue per Hour</x:v>
      </x:c>
      <x:c r="B12" s="64" t="str">
        <x:v>Project Revenue / Project Hours</x:v>
      </x:c>
      <x:c r="C12" s="64" t="str">
        <x:v>Produktivitas jam kerja project/service line</x:v>
      </x:c>
      <x:c r="D12" s="64" t="str">
        <x:v>PROJECT_PRODUCTIVITY</x:v>
      </x:c>
      <x:c r="E12" s="64" t="str">
        <x:v>Operations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0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  <x:col min="17" max="17" width="18" hidden="0" customWidth="1"/>
    <x:col min="18" max="18" width="60" hidden="0" customWidth="1"/>
  </x:cols>
  <x:sheetData>
    <x:row r="1">
      <x:c r="A1" s="119" t="str">
        <x:v>Year</x:v>
      </x:c>
      <x:c r="B1" s="119" t="str">
        <x:v>Project_ID</x:v>
      </x:c>
      <x:c r="C1" s="119" t="str">
        <x:v>Project_Name</x:v>
      </x:c>
      <x:c r="D1" s="119" t="str">
        <x:v>Project_Category</x:v>
      </x:c>
      <x:c r="E1" s="119" t="str">
        <x:v>Business_Line</x:v>
      </x:c>
      <x:c r="F1" s="120" t="str">
        <x:v>Revenue</x:v>
      </x:c>
      <x:c r="G1" s="120" t="str">
        <x:v>COGS</x:v>
      </x:c>
      <x:c r="H1" s="120" t="str">
        <x:v>Manpower_Cost</x:v>
      </x:c>
      <x:c r="I1" s="119" t="str">
        <x:v>Project_Hours</x:v>
      </x:c>
      <x:c r="J1" s="119" t="str">
        <x:v>HC_Allocated</x:v>
      </x:c>
      <x:c r="K1" s="119" t="str">
        <x:v>Sites_or_Tickets</x:v>
      </x:c>
      <x:c r="L1" s="119" t="str">
        <x:v>SLA_Breach_Count</x:v>
      </x:c>
      <x:c r="M1" s="120" t="str">
        <x:v>Gross_Profit</x:v>
      </x:c>
      <x:c r="N1" s="121" t="str">
        <x:v>Gross_Margin_Pct</x:v>
      </x:c>
      <x:c r="O1" s="121" t="str">
        <x:v>MCR_Pct</x:v>
      </x:c>
      <x:c r="P1" s="120" t="str">
        <x:v>Revenue_per_HC</x:v>
      </x:c>
      <x:c r="Q1" s="120" t="str">
        <x:v>Revenue_per_Hour</x:v>
      </x:c>
      <x:c r="R1" s="119" t="str">
        <x:v>Notes</x:v>
      </x:c>
    </x:row>
    <x:row r="2">
      <x:c r="A2" s="64" t="n">
        <x:v>2025</x:v>
      </x:c>
      <x:c r="B2" s="64" t="str">
        <x:v>PP001</x:v>
      </x:c>
      <x:c r="C2" s="64" t="str">
        <x:v>Managed Service / SLA Operations</x:v>
      </x:c>
      <x:c r="D2" s="64" t="str">
        <x:v>Managed Service</x:v>
      </x:c>
      <x:c r="E2" s="64" t="str">
        <x:v>Telecom &amp; IT System Integrator</x:v>
      </x:c>
      <x:c r="F2" s="64" t="n">
        <x:v>23323462171.36</x:v>
      </x:c>
      <x:c r="G2" s="64" t="n">
        <x:v>16326423519.952</x:v>
      </x:c>
      <x:c r="H2" s="64" t="n">
        <x:v>1049555797.7112</x:v>
      </x:c>
      <x:c r="I2" s="64" t="n">
        <x:v>8200</x:v>
      </x:c>
      <x:c r="J2" s="64" t="n">
        <x:v>18</x:v>
      </x:c>
      <x:c r="K2" s="64" t="n">
        <x:v>420</x:v>
      </x:c>
      <x:c r="L2" s="64" t="n">
        <x:v>3</x:v>
      </x:c>
      <x:c r="M2" s="64" t="n">
        <x:f>F2-G2</x:f>
        <x:v>6997038651.408001</x:v>
      </x:c>
      <x:c r="N2" s="64" t="n">
        <x:f>IFERROR(M2/F2,0)</x:f>
        <x:v>0.30000000000000004</x:v>
      </x:c>
      <x:c r="O2" s="64" t="n">
        <x:f>IFERROR(H2/F2,0)</x:f>
        <x:v>0.045</x:v>
      </x:c>
      <x:c r="P2" s="64" t="n">
        <x:f>IFERROR(F2/J2,0)</x:f>
        <x:v>1295747898.4088888</x:v>
      </x:c>
      <x:c r="Q2" s="64" t="n">
        <x:f>IFERROR(F2/I2,0)</x:f>
        <x:v>2844324.6550439023</x:v>
      </x:c>
      <x:c r="R2" s="64" t="str">
        <x:v>Sample benchmark categories for telecom &amp; IT system integrator. Replace with actual project/service-line data.</x:v>
      </x:c>
    </x:row>
    <x:row r="3">
      <x:c r="A3" s="64" t="n">
        <x:v>2025</x:v>
      </x:c>
      <x:c r="B3" s="64" t="str">
        <x:v>PP002</x:v>
      </x:c>
      <x:c r="C3" s="64" t="str">
        <x:v>Network Deployment &amp; Installation</x:v>
      </x:c>
      <x:c r="D3" s="64" t="str">
        <x:v>Network Deployment/Installation</x:v>
      </x:c>
      <x:c r="E3" s="64" t="str">
        <x:v>Telecom &amp; IT System Integrator</x:v>
      </x:c>
      <x:c r="F3" s="64" t="n">
        <x:v>19735237221.920002</x:v>
      </x:c>
      <x:c r="G3" s="64" t="n">
        <x:v>15393485033.097603</x:v>
      </x:c>
      <x:c r="H3" s="64" t="n">
        <x:v>1085438047.2056</x:v>
      </x:c>
      <x:c r="I3" s="64" t="n">
        <x:v>7600</x:v>
      </x:c>
      <x:c r="J3" s="64" t="n">
        <x:v>15</x:v>
      </x:c>
      <x:c r="K3" s="64" t="n">
        <x:v>85</x:v>
      </x:c>
      <x:c r="L3" s="64" t="n">
        <x:v>1</x:v>
      </x:c>
      <x:c r="M3" s="64" t="n">
        <x:f>F3-G3</x:f>
        <x:v>4341752188.822399</x:v>
      </x:c>
      <x:c r="N3" s="64" t="n">
        <x:f>IFERROR(M3/F3,0)</x:f>
        <x:v>0.21999999999999995</x:v>
      </x:c>
      <x:c r="O3" s="64" t="n">
        <x:f>IFERROR(H3/F3,0)</x:f>
        <x:v>0.05499999999999999</x:v>
      </x:c>
      <x:c r="P3" s="64" t="n">
        <x:f>IFERROR(F3/J3,0)</x:f>
        <x:v>1315682481.4613335</x:v>
      </x:c>
      <x:c r="Q3" s="64" t="n">
        <x:f>IFERROR(F3/I3,0)</x:f>
        <x:v>2596741.739726316</x:v>
      </x:c>
      <x:c r="R3" s="64" t="str">
        <x:v>Sample benchmark categories for telecom &amp; IT system integrator. Replace with actual project/service-line data.</x:v>
      </x:c>
    </x:row>
    <x:row r="4">
      <x:c r="A4" s="64" t="n">
        <x:v>2025</x:v>
      </x:c>
      <x:c r="B4" s="64" t="str">
        <x:v>PP003</x:v>
      </x:c>
      <x:c r="C4" s="64" t="str">
        <x:v>Network Maintenance &amp; Corrective Support</x:v>
      </x:c>
      <x:c r="D4" s="64" t="str">
        <x:v>Network Maintenance</x:v>
      </x:c>
      <x:c r="E4" s="64" t="str">
        <x:v>Telecom &amp; IT System Integrator</x:v>
      </x:c>
      <x:c r="F4" s="64" t="n">
        <x:v>13455843560.4</x:v>
      </x:c>
      <x:c r="G4" s="64" t="n">
        <x:v>10226441105.904</x:v>
      </x:c>
      <x:c r="H4" s="64" t="n">
        <x:v>807350613.624</x:v>
      </x:c>
      <x:c r="I4" s="64" t="n">
        <x:v>6800</x:v>
      </x:c>
      <x:c r="J4" s="64" t="n">
        <x:v>14</x:v>
      </x:c>
      <x:c r="K4" s="64" t="n">
        <x:v>310</x:v>
      </x:c>
      <x:c r="L4" s="64" t="n">
        <x:v>4</x:v>
      </x:c>
      <x:c r="M4" s="64" t="n">
        <x:f>F4-G4</x:f>
        <x:v>3229402454.4960003</x:v>
      </x:c>
      <x:c r="N4" s="64" t="n">
        <x:f>IFERROR(M4/F4,0)</x:f>
        <x:v>0.24000000000000002</x:v>
      </x:c>
      <x:c r="O4" s="64" t="n">
        <x:f>IFERROR(H4/F4,0)</x:f>
        <x:v>0.06</x:v>
      </x:c>
      <x:c r="P4" s="64" t="n">
        <x:f>IFERROR(F4/J4,0)</x:f>
        <x:v>961131682.8857143</x:v>
      </x:c>
      <x:c r="Q4" s="64" t="n">
        <x:f>IFERROR(F4/I4,0)</x:f>
        <x:v>1978800.5235882353</x:v>
      </x:c>
      <x:c r="R4" s="64" t="str">
        <x:v>Sample benchmark categories for telecom &amp; IT system integrator. Replace with actual project/service-line data.</x:v>
      </x:c>
    </x:row>
    <x:row r="5">
      <x:c r="A5" s="64" t="n">
        <x:v>2025</x:v>
      </x:c>
      <x:c r="B5" s="64" t="str">
        <x:v>PP004</x:v>
      </x:c>
      <x:c r="C5" s="64" t="str">
        <x:v>NOC &amp; Monitoring Service</x:v>
      </x:c>
      <x:c r="D5" s="64" t="str">
        <x:v>NOC/Monitoring</x:v>
      </x:c>
      <x:c r="E5" s="64" t="str">
        <x:v>Telecom &amp; IT System Integrator</x:v>
      </x:c>
      <x:c r="F5" s="64" t="n">
        <x:v>8970562373.6</x:v>
      </x:c>
      <x:c r="G5" s="64" t="n">
        <x:v>6099982414.048</x:v>
      </x:c>
      <x:c r="H5" s="64" t="n">
        <x:v>448528118.68000007</x:v>
      </x:c>
      <x:c r="I5" s="64" t="n">
        <x:v>5200</x:v>
      </x:c>
      <x:c r="J5" s="64" t="n">
        <x:v>10</x:v>
      </x:c>
      <x:c r="K5" s="64" t="n">
        <x:v>520</x:v>
      </x:c>
      <x:c r="L5" s="64" t="n">
        <x:v>2</x:v>
      </x:c>
      <x:c r="M5" s="64" t="n">
        <x:f>F5-G5</x:f>
        <x:v>2870579959.552</x:v>
      </x:c>
      <x:c r="N5" s="64" t="n">
        <x:f>IFERROR(M5/F5,0)</x:f>
        <x:v>0.32</x:v>
      </x:c>
      <x:c r="O5" s="64" t="n">
        <x:f>IFERROR(H5/F5,0)</x:f>
        <x:v>0.05</x:v>
      </x:c>
      <x:c r="P5" s="64" t="n">
        <x:f>IFERROR(F5/J5,0)</x:f>
        <x:v>897056237.36</x:v>
      </x:c>
      <x:c r="Q5" s="64" t="n">
        <x:f>IFERROR(F5/I5,0)</x:f>
        <x:v>1725108.1487692308</x:v>
      </x:c>
      <x:c r="R5" s="64" t="str">
        <x:v>Sample benchmark categories for telecom &amp; IT system integrator. Replace with actual project/service-line data.</x:v>
      </x:c>
    </x:row>
    <x:row r="6">
      <x:c r="A6" s="64" t="n">
        <x:v>2025</x:v>
      </x:c>
      <x:c r="B6" s="64" t="str">
        <x:v>PP005</x:v>
      </x:c>
      <x:c r="C6" s="64" t="str">
        <x:v>IT Infrastructure &amp; System Integration</x:v>
      </x:c>
      <x:c r="D6" s="64" t="str">
        <x:v>IT Infrastructure/System Integration</x:v>
      </x:c>
      <x:c r="E6" s="64" t="str">
        <x:v>Telecom &amp; IT System Integrator</x:v>
      </x:c>
      <x:c r="F6" s="64" t="n">
        <x:v>10764674848.32</x:v>
      </x:c>
      <x:c r="G6" s="64" t="n">
        <x:v>7750565890.7904</x:v>
      </x:c>
      <x:c r="H6" s="64" t="n">
        <x:v>538233742.416</x:v>
      </x:c>
      <x:c r="I6" s="64" t="n">
        <x:v>4100</x:v>
      </x:c>
      <x:c r="J6" s="64" t="n">
        <x:v>8</x:v>
      </x:c>
      <x:c r="K6" s="64" t="n">
        <x:v>34</x:v>
      </x:c>
      <x:c r="L6" s="64" t="n">
        <x:v>0</x:v>
      </x:c>
      <x:c r="M6" s="64" t="n">
        <x:f>F6-G6</x:f>
        <x:v>3014108957.5296</x:v>
      </x:c>
      <x:c r="N6" s="64" t="n">
        <x:f>IFERROR(M6/F6,0)</x:f>
        <x:v>0.28</x:v>
      </x:c>
      <x:c r="O6" s="64" t="n">
        <x:f>IFERROR(H6/F6,0)</x:f>
        <x:v>0.05</x:v>
      </x:c>
      <x:c r="P6" s="64" t="n">
        <x:f>IFERROR(F6/J6,0)</x:f>
        <x:v>1345584356.04</x:v>
      </x:c>
      <x:c r="Q6" s="64" t="n">
        <x:f>IFERROR(F6/I6,0)</x:f>
        <x:v>2625530.450809756</x:v>
      </x:c>
      <x:c r="R6" s="64" t="str">
        <x:v>Sample benchmark categories for telecom &amp; IT system integrator. Replace with actual project/service-line data.</x:v>
      </x:c>
    </x:row>
    <x:row r="7">
      <x:c r="A7" s="64" t="n">
        <x:v>2025</x:v>
      </x:c>
      <x:c r="B7" s="64" t="str">
        <x:v>PP006</x:v>
      </x:c>
      <x:c r="C7" s="64" t="str">
        <x:v>CCTV / IoT / Security System</x:v>
      </x:c>
      <x:c r="D7" s="64" t="str">
        <x:v>CCTV/IoT/Security</x:v>
      </x:c>
      <x:c r="E7" s="64" t="str">
        <x:v>Telecom &amp; IT System Integrator</x:v>
      </x:c>
      <x:c r="F7" s="64" t="n">
        <x:v>7176449898.88</x:v>
      </x:c>
      <x:c r="G7" s="64" t="n">
        <x:v>5310572925.1712</x:v>
      </x:c>
      <x:c r="H7" s="64" t="n">
        <x:v>394704744.43840003</x:v>
      </x:c>
      <x:c r="I7" s="64" t="n">
        <x:v>3500</x:v>
      </x:c>
      <x:c r="J7" s="64" t="n">
        <x:v>7</x:v>
      </x:c>
      <x:c r="K7" s="64" t="n">
        <x:v>42</x:v>
      </x:c>
      <x:c r="L7" s="64" t="n">
        <x:v>1</x:v>
      </x:c>
      <x:c r="M7" s="64" t="n">
        <x:f>F7-G7</x:f>
        <x:v>1865876973.7088003</x:v>
      </x:c>
      <x:c r="N7" s="64" t="n">
        <x:f>IFERROR(M7/F7,0)</x:f>
        <x:v>0.26000000000000006</x:v>
      </x:c>
      <x:c r="O7" s="64" t="n">
        <x:f>IFERROR(H7/F7,0)</x:f>
        <x:v>0.055</x:v>
      </x:c>
      <x:c r="P7" s="64" t="n">
        <x:f>IFERROR(F7/J7,0)</x:f>
        <x:v>1025207128.4114286</x:v>
      </x:c>
      <x:c r="Q7" s="64" t="n">
        <x:f>IFERROR(F7/I7,0)</x:f>
        <x:v>2050414.256822857</x:v>
      </x:c>
      <x:c r="R7" s="64" t="str">
        <x:v>Sample benchmark categories for telecom &amp; IT system integrator. Replace with actual project/service-line data.</x:v>
      </x:c>
    </x:row>
    <x:row r="8">
      <x:c r="A8" s="64" t="n">
        <x:v>2025</x:v>
      </x:c>
      <x:c r="B8" s="64" t="str">
        <x:v>PP007</x:v>
      </x:c>
      <x:c r="C8" s="64" t="str">
        <x:v>Cloud / Data Center / Server</x:v>
      </x:c>
      <x:c r="D8" s="64" t="str">
        <x:v>Cloud/Data Center</x:v>
      </x:c>
      <x:c r="E8" s="64" t="str">
        <x:v>Telecom &amp; IT System Integrator</x:v>
      </x:c>
      <x:c r="F8" s="64" t="n">
        <x:v>3588224949.44</x:v>
      </x:c>
      <x:c r="G8" s="64" t="n">
        <x:v>2368228466.6304</x:v>
      </x:c>
      <x:c r="H8" s="64" t="n">
        <x:v>125587873.23040001</x:v>
      </x:c>
      <x:c r="I8" s="64" t="n">
        <x:v>1600</x:v>
      </x:c>
      <x:c r="J8" s="64" t="n">
        <x:v>4</x:v>
      </x:c>
      <x:c r="K8" s="64" t="n">
        <x:v>12</x:v>
      </x:c>
      <x:c r="L8" s="64" t="n">
        <x:v>0</x:v>
      </x:c>
      <x:c r="M8" s="64" t="n">
        <x:f>F8-G8</x:f>
        <x:v>1219996482.8095999</x:v>
      </x:c>
      <x:c r="N8" s="64" t="n">
        <x:f>IFERROR(M8/F8,0)</x:f>
        <x:v>0.33999999999999997</x:v>
      </x:c>
      <x:c r="O8" s="64" t="n">
        <x:f>IFERROR(H8/F8,0)</x:f>
        <x:v>0.035</x:v>
      </x:c>
      <x:c r="P8" s="64" t="n">
        <x:f>IFERROR(F8/J8,0)</x:f>
        <x:v>897056237.36</x:v>
      </x:c>
      <x:c r="Q8" s="64" t="n">
        <x:f>IFERROR(F8/I8,0)</x:f>
        <x:v>2242640.5934</x:v>
      </x:c>
      <x:c r="R8" s="64" t="str">
        <x:v>Sample benchmark categories for telecom &amp; IT system integrator. Replace with actual project/service-line data.</x:v>
      </x:c>
    </x:row>
    <x:row r="9">
      <x:c r="A9" s="64" t="n">
        <x:v>2025</x:v>
      </x:c>
      <x:c r="B9" s="64" t="str">
        <x:v>PP008</x:v>
      </x:c>
      <x:c r="C9" s="64" t="str">
        <x:v>Professional Service / Consulting</x:v>
      </x:c>
      <x:c r="D9" s="64" t="str">
        <x:v>Professional Service</x:v>
      </x:c>
      <x:c r="E9" s="64" t="str">
        <x:v>Telecom &amp; IT System Integrator</x:v>
      </x:c>
      <x:c r="F9" s="64" t="n">
        <x:v>2691168712.08</x:v>
      </x:c>
      <x:c r="G9" s="64" t="n">
        <x:v>1560877853.0063999</x:v>
      </x:c>
      <x:c r="H9" s="64" t="n">
        <x:v>174925966.2852</x:v>
      </x:c>
      <x:c r="I9" s="64" t="n">
        <x:v>1200</x:v>
      </x:c>
      <x:c r="J9" s="64" t="n">
        <x:v>3</x:v>
      </x:c>
      <x:c r="K9" s="64" t="n">
        <x:v>18</x:v>
      </x:c>
      <x:c r="L9" s="64" t="n">
        <x:v>0</x:v>
      </x:c>
      <x:c r="M9" s="64" t="n">
        <x:f>F9-G9</x:f>
        <x:v>1130290859.0736</x:v>
      </x:c>
      <x:c r="N9" s="64" t="n">
        <x:f>IFERROR(M9/F9,0)</x:f>
        <x:v>0.42000000000000004</x:v>
      </x:c>
      <x:c r="O9" s="64" t="n">
        <x:f>IFERROR(H9/F9,0)</x:f>
        <x:v>0.065</x:v>
      </x:c>
      <x:c r="P9" s="64" t="n">
        <x:f>IFERROR(F9/J9,0)</x:f>
        <x:v>897056237.36</x:v>
      </x:c>
      <x:c r="Q9" s="64" t="n">
        <x:f>IFERROR(F9/I9,0)</x:f>
        <x:v>2242640.5934</x:v>
      </x:c>
      <x:c r="R9" s="64" t="str">
        <x:v>Sample benchmark categories for telecom &amp; IT system integrator. Replace with actual project/service-line data.</x:v>
      </x:c>
    </x:row>
    <x:row r="10">
      <x:c r="A10" s="64" t="n">
        <x:v>2026</x:v>
      </x:c>
      <x:c r="B10" s="64" t="str">
        <x:v>PP001</x:v>
      </x:c>
      <x:c r="C10" s="64" t="str">
        <x:v>Managed Service / SLA Operations</x:v>
      </x:c>
      <x:c r="D10" s="64" t="str">
        <x:v>Managed Service</x:v>
      </x:c>
      <x:c r="E10" s="64" t="str">
        <x:v>Telecom &amp; IT System Integrator</x:v>
      </x:c>
      <x:c r="F10" s="64" t="n">
        <x:v>5400000000</x:v>
      </x:c>
      <x:c r="G10" s="64" t="n">
        <x:v>3888000000</x:v>
      </x:c>
      <x:c r="H10" s="64" t="n">
        <x:v>324000000</x:v>
      </x:c>
      <x:c r="I10" s="64" t="n">
        <x:v>4300</x:v>
      </x:c>
      <x:c r="J10" s="64" t="n">
        <x:v>18</x:v>
      </x:c>
      <x:c r="K10" s="64" t="n">
        <x:v>210</x:v>
      </x:c>
      <x:c r="L10" s="64" t="n">
        <x:v>2</x:v>
      </x:c>
      <x:c r="M10" s="64" t="n">
        <x:f>F10-G10</x:f>
        <x:v>1512000000</x:v>
      </x:c>
      <x:c r="N10" s="64" t="n">
        <x:f>IFERROR(M10/F10,0)</x:f>
        <x:v>0.28</x:v>
      </x:c>
      <x:c r="O10" s="64" t="n">
        <x:f>IFERROR(H10/F10,0)</x:f>
        <x:v>0.06</x:v>
      </x:c>
      <x:c r="P10" s="64" t="n">
        <x:f>IFERROR(F10/J10,0)</x:f>
        <x:v>300000000</x:v>
      </x:c>
      <x:c r="Q10" s="64" t="n">
        <x:f>IFERROR(F10/I10,0)</x:f>
        <x:v>1255813.953488372</x:v>
      </x:c>
      <x:c r="R10" s="64" t="str">
        <x:v>Sample benchmark categories for telecom &amp; IT system integrator. Replace with actual project/service-line data.</x:v>
      </x:c>
    </x:row>
    <x:row r="11">
      <x:c r="A11" s="64" t="n">
        <x:v>2026</x:v>
      </x:c>
      <x:c r="B11" s="64" t="str">
        <x:v>PP002</x:v>
      </x:c>
      <x:c r="C11" s="64" t="str">
        <x:v>Network Deployment &amp; Installation</x:v>
      </x:c>
      <x:c r="D11" s="64" t="str">
        <x:v>Network Deployment/Installation</x:v>
      </x:c>
      <x:c r="E11" s="64" t="str">
        <x:v>Telecom &amp; IT System Integrator</x:v>
      </x:c>
      <x:c r="F11" s="64" t="n">
        <x:v>4000000000</x:v>
      </x:c>
      <x:c r="G11" s="64" t="n">
        <x:v>3320000000</x:v>
      </x:c>
      <x:c r="H11" s="64" t="n">
        <x:v>340000000</x:v>
      </x:c>
      <x:c r="I11" s="64" t="n">
        <x:v>3800</x:v>
      </x:c>
      <x:c r="J11" s="64" t="n">
        <x:v>15</x:v>
      </x:c>
      <x:c r="K11" s="64" t="n">
        <x:v>38</x:v>
      </x:c>
      <x:c r="L11" s="64" t="n">
        <x:v>1</x:v>
      </x:c>
      <x:c r="M11" s="64" t="n">
        <x:f>F11-G11</x:f>
        <x:v>680000000</x:v>
      </x:c>
      <x:c r="N11" s="64" t="n">
        <x:f>IFERROR(M11/F11,0)</x:f>
        <x:v>0.17</x:v>
      </x:c>
      <x:c r="O11" s="64" t="n">
        <x:f>IFERROR(H11/F11,0)</x:f>
        <x:v>0.085</x:v>
      </x:c>
      <x:c r="P11" s="64" t="n">
        <x:f>IFERROR(F11/J11,0)</x:f>
        <x:v>266666666.66666666</x:v>
      </x:c>
      <x:c r="Q11" s="64" t="n">
        <x:f>IFERROR(F11/I11,0)</x:f>
        <x:v>1052631.5789473683</x:v>
      </x:c>
      <x:c r="R11" s="64" t="str">
        <x:v>Sample benchmark categories for telecom &amp; IT system integrator. Replace with actual project/service-line data.</x:v>
      </x:c>
    </x:row>
    <x:row r="12">
      <x:c r="A12" s="64" t="n">
        <x:v>2026</x:v>
      </x:c>
      <x:c r="B12" s="64" t="str">
        <x:v>PP003</x:v>
      </x:c>
      <x:c r="C12" s="64" t="str">
        <x:v>Network Maintenance &amp; Corrective Support</x:v>
      </x:c>
      <x:c r="D12" s="64" t="str">
        <x:v>Network Maintenance</x:v>
      </x:c>
      <x:c r="E12" s="64" t="str">
        <x:v>Telecom &amp; IT System Integrator</x:v>
      </x:c>
      <x:c r="F12" s="64" t="n">
        <x:v>3200000000</x:v>
      </x:c>
      <x:c r="G12" s="64" t="n">
        <x:v>2496000000</x:v>
      </x:c>
      <x:c r="H12" s="64" t="n">
        <x:v>240000000</x:v>
      </x:c>
      <x:c r="I12" s="64" t="n">
        <x:v>3600</x:v>
      </x:c>
      <x:c r="J12" s="64" t="n">
        <x:v>14</x:v>
      </x:c>
      <x:c r="K12" s="64" t="n">
        <x:v>150</x:v>
      </x:c>
      <x:c r="L12" s="64" t="n">
        <x:v>2</x:v>
      </x:c>
      <x:c r="M12" s="64" t="n">
        <x:f>F12-G12</x:f>
        <x:v>704000000</x:v>
      </x:c>
      <x:c r="N12" s="64" t="n">
        <x:f>IFERROR(M12/F12,0)</x:f>
        <x:v>0.22</x:v>
      </x:c>
      <x:c r="O12" s="64" t="n">
        <x:f>IFERROR(H12/F12,0)</x:f>
        <x:v>0.075</x:v>
      </x:c>
      <x:c r="P12" s="64" t="n">
        <x:f>IFERROR(F12/J12,0)</x:f>
        <x:v>228571428.57142857</x:v>
      </x:c>
      <x:c r="Q12" s="64" t="n">
        <x:f>IFERROR(F12/I12,0)</x:f>
        <x:v>888888.8888888889</x:v>
      </x:c>
      <x:c r="R12" s="64" t="str">
        <x:v>Sample benchmark categories for telecom &amp; IT system integrator. Replace with actual project/service-line data.</x:v>
      </x:c>
    </x:row>
    <x:row r="13">
      <x:c r="A13" s="64" t="n">
        <x:v>2026</x:v>
      </x:c>
      <x:c r="B13" s="64" t="str">
        <x:v>PP004</x:v>
      </x:c>
      <x:c r="C13" s="64" t="str">
        <x:v>NOC &amp; Monitoring Service</x:v>
      </x:c>
      <x:c r="D13" s="64" t="str">
        <x:v>NOC/Monitoring</x:v>
      </x:c>
      <x:c r="E13" s="64" t="str">
        <x:v>Telecom &amp; IT System Integrator</x:v>
      </x:c>
      <x:c r="F13" s="64" t="n">
        <x:v>2200000000</x:v>
      </x:c>
      <x:c r="G13" s="64" t="n">
        <x:v>1540000000</x:v>
      </x:c>
      <x:c r="H13" s="64" t="n">
        <x:v>143000000</x:v>
      </x:c>
      <x:c r="I13" s="64" t="n">
        <x:v>2700</x:v>
      </x:c>
      <x:c r="J13" s="64" t="n">
        <x:v>10</x:v>
      </x:c>
      <x:c r="K13" s="64" t="n">
        <x:v>260</x:v>
      </x:c>
      <x:c r="L13" s="64" t="n">
        <x:v>1</x:v>
      </x:c>
      <x:c r="M13" s="64" t="n">
        <x:f>F13-G13</x:f>
        <x:v>660000000</x:v>
      </x:c>
      <x:c r="N13" s="64" t="n">
        <x:f>IFERROR(M13/F13,0)</x:f>
        <x:v>0.3</x:v>
      </x:c>
      <x:c r="O13" s="64" t="n">
        <x:f>IFERROR(H13/F13,0)</x:f>
        <x:v>0.065</x:v>
      </x:c>
      <x:c r="P13" s="64" t="n">
        <x:f>IFERROR(F13/J13,0)</x:f>
        <x:v>220000000</x:v>
      </x:c>
      <x:c r="Q13" s="64" t="n">
        <x:f>IFERROR(F13/I13,0)</x:f>
        <x:v>814814.8148148148</x:v>
      </x:c>
      <x:c r="R13" s="64" t="str">
        <x:v>Sample benchmark categories for telecom &amp; IT system integrator. Replace with actual project/service-line data.</x:v>
      </x:c>
    </x:row>
    <x:row r="14">
      <x:c r="A14" s="64" t="n">
        <x:v>2026</x:v>
      </x:c>
      <x:c r="B14" s="64" t="str">
        <x:v>PP005</x:v>
      </x:c>
      <x:c r="C14" s="64" t="str">
        <x:v>IT Infrastructure &amp; System Integration</x:v>
      </x:c>
      <x:c r="D14" s="64" t="str">
        <x:v>IT Infrastructure/System Integration</x:v>
      </x:c>
      <x:c r="E14" s="64" t="str">
        <x:v>Telecom &amp; IT System Integrator</x:v>
      </x:c>
      <x:c r="F14" s="64" t="n">
        <x:v>2400000000</x:v>
      </x:c>
      <x:c r="G14" s="64" t="n">
        <x:v>1776000000</x:v>
      </x:c>
      <x:c r="H14" s="64" t="n">
        <x:v>144000000</x:v>
      </x:c>
      <x:c r="I14" s="64" t="n">
        <x:v>2100</x:v>
      </x:c>
      <x:c r="J14" s="64" t="n">
        <x:v>8</x:v>
      </x:c>
      <x:c r="K14" s="64" t="n">
        <x:v>16</x:v>
      </x:c>
      <x:c r="L14" s="64" t="n">
        <x:v>0</x:v>
      </x:c>
      <x:c r="M14" s="64" t="n">
        <x:f>F14-G14</x:f>
        <x:v>624000000</x:v>
      </x:c>
      <x:c r="N14" s="64" t="n">
        <x:f>IFERROR(M14/F14,0)</x:f>
        <x:v>0.26</x:v>
      </x:c>
      <x:c r="O14" s="64" t="n">
        <x:f>IFERROR(H14/F14,0)</x:f>
        <x:v>0.06</x:v>
      </x:c>
      <x:c r="P14" s="64" t="n">
        <x:f>IFERROR(F14/J14,0)</x:f>
        <x:v>300000000</x:v>
      </x:c>
      <x:c r="Q14" s="64" t="n">
        <x:f>IFERROR(F14/I14,0)</x:f>
        <x:v>1142857.142857143</x:v>
      </x:c>
      <x:c r="R14" s="64" t="str">
        <x:v>Sample benchmark categories for telecom &amp; IT system integrator. Replace with actual project/service-line data.</x:v>
      </x:c>
    </x:row>
    <x:row r="15">
      <x:c r="A15" s="64" t="n">
        <x:v>2026</x:v>
      </x:c>
      <x:c r="B15" s="64" t="str">
        <x:v>PP006</x:v>
      </x:c>
      <x:c r="C15" s="64" t="str">
        <x:v>CCTV / IoT / Security System</x:v>
      </x:c>
      <x:c r="D15" s="64" t="str">
        <x:v>CCTV/IoT/Security</x:v>
      </x:c>
      <x:c r="E15" s="64" t="str">
        <x:v>Telecom &amp; IT System Integrator</x:v>
      </x:c>
      <x:c r="F15" s="64" t="n">
        <x:v>1400000000.0000002</x:v>
      </x:c>
      <x:c r="G15" s="64" t="n">
        <x:v>1078000000.0000002</x:v>
      </x:c>
      <x:c r="H15" s="64" t="n">
        <x:v>98000000.00000003</x:v>
      </x:c>
      <x:c r="I15" s="64" t="n">
        <x:v>1700</x:v>
      </x:c>
      <x:c r="J15" s="64" t="n">
        <x:v>7</x:v>
      </x:c>
      <x:c r="K15" s="64" t="n">
        <x:v>22</x:v>
      </x:c>
      <x:c r="L15" s="64" t="n">
        <x:v>1</x:v>
      </x:c>
      <x:c r="M15" s="64" t="n">
        <x:f>F15-G15</x:f>
        <x:v>322000000</x:v>
      </x:c>
      <x:c r="N15" s="64" t="n">
        <x:f>IFERROR(M15/F15,0)</x:f>
        <x:v>0.22999999999999995</x:v>
      </x:c>
      <x:c r="O15" s="64" t="n">
        <x:f>IFERROR(H15/F15,0)</x:f>
        <x:v>0.07</x:v>
      </x:c>
      <x:c r="P15" s="64" t="n">
        <x:f>IFERROR(F15/J15,0)</x:f>
        <x:v>200000000.00000003</x:v>
      </x:c>
      <x:c r="Q15" s="64" t="n">
        <x:f>IFERROR(F15/I15,0)</x:f>
        <x:v>823529.411764706</x:v>
      </x:c>
      <x:c r="R15" s="64" t="str">
        <x:v>Sample benchmark categories for telecom &amp; IT system integrator. Replace with actual project/service-line data.</x:v>
      </x:c>
    </x:row>
    <x:row r="16">
      <x:c r="A16" s="64" t="n">
        <x:v>2026</x:v>
      </x:c>
      <x:c r="B16" s="64" t="str">
        <x:v>PP007</x:v>
      </x:c>
      <x:c r="C16" s="64" t="str">
        <x:v>Cloud / Data Center / Server</x:v>
      </x:c>
      <x:c r="D16" s="64" t="str">
        <x:v>Cloud/Data Center</x:v>
      </x:c>
      <x:c r="E16" s="64" t="str">
        <x:v>Telecom &amp; IT System Integrator</x:v>
      </x:c>
      <x:c r="F16" s="64" t="n">
        <x:v>800000000</x:v>
      </x:c>
      <x:c r="G16" s="64" t="n">
        <x:v>544000000</x:v>
      </x:c>
      <x:c r="H16" s="64" t="n">
        <x:v>36000000</x:v>
      </x:c>
      <x:c r="I16" s="64" t="n">
        <x:v>900</x:v>
      </x:c>
      <x:c r="J16" s="64" t="n">
        <x:v>4</x:v>
      </x:c>
      <x:c r="K16" s="64" t="n">
        <x:v>8</x:v>
      </x:c>
      <x:c r="L16" s="64" t="n">
        <x:v>0</x:v>
      </x:c>
      <x:c r="M16" s="64" t="n">
        <x:f>F16-G16</x:f>
        <x:v>256000000</x:v>
      </x:c>
      <x:c r="N16" s="64" t="n">
        <x:f>IFERROR(M16/F16,0)</x:f>
        <x:v>0.32</x:v>
      </x:c>
      <x:c r="O16" s="64" t="n">
        <x:f>IFERROR(H16/F16,0)</x:f>
        <x:v>0.045</x:v>
      </x:c>
      <x:c r="P16" s="64" t="n">
        <x:f>IFERROR(F16/J16,0)</x:f>
        <x:v>200000000</x:v>
      </x:c>
      <x:c r="Q16" s="64" t="n">
        <x:f>IFERROR(F16/I16,0)</x:f>
        <x:v>888888.8888888889</x:v>
      </x:c>
      <x:c r="R16" s="64" t="str">
        <x:v>Sample benchmark categories for telecom &amp; IT system integrator. Replace with actual project/service-line data.</x:v>
      </x:c>
    </x:row>
    <x:row r="17">
      <x:c r="A17" s="64" t="n">
        <x:v>2026</x:v>
      </x:c>
      <x:c r="B17" s="64" t="str">
        <x:v>PP008</x:v>
      </x:c>
      <x:c r="C17" s="64" t="str">
        <x:v>Professional Service / Consulting</x:v>
      </x:c>
      <x:c r="D17" s="64" t="str">
        <x:v>Professional Service</x:v>
      </x:c>
      <x:c r="E17" s="64" t="str">
        <x:v>Telecom &amp; IT System Integrator</x:v>
      </x:c>
      <x:c r="F17" s="64" t="n">
        <x:v>600000000</x:v>
      </x:c>
      <x:c r="G17" s="64" t="n">
        <x:v>360000000</x:v>
      </x:c>
      <x:c r="H17" s="64" t="n">
        <x:v>48000000</x:v>
      </x:c>
      <x:c r="I17" s="64" t="n">
        <x:v>650</x:v>
      </x:c>
      <x:c r="J17" s="64" t="n">
        <x:v>3</x:v>
      </x:c>
      <x:c r="K17" s="64" t="n">
        <x:v>10</x:v>
      </x:c>
      <x:c r="L17" s="64" t="n">
        <x:v>0</x:v>
      </x:c>
      <x:c r="M17" s="64" t="n">
        <x:f>F17-G17</x:f>
        <x:v>240000000</x:v>
      </x:c>
      <x:c r="N17" s="64" t="n">
        <x:f>IFERROR(M17/F17,0)</x:f>
        <x:v>0.4</x:v>
      </x:c>
      <x:c r="O17" s="64" t="n">
        <x:f>IFERROR(H17/F17,0)</x:f>
        <x:v>0.08</x:v>
      </x:c>
      <x:c r="P17" s="64" t="n">
        <x:f>IFERROR(F17/J17,0)</x:f>
        <x:v>200000000</x:v>
      </x:c>
      <x:c r="Q17" s="64" t="n">
        <x:f>IFERROR(F17/I17,0)</x:f>
        <x:v>923076.9230769231</x:v>
      </x:c>
      <x:c r="R17" s="64" t="str">
        <x:v>Sample benchmark categories for telecom &amp; IT system integrator. Replace with actual project/service-line data.</x:v>
      </x:c>
    </x:row>
  </x:sheetData>
  <x:pageMargins left="0.7" right="0.7" top="0.75" bottom="0.75" header="0.3" footer="0.3"/>
  <x:tableParts count="1">
    <x:tablePart xmlns:r="http://schemas.openxmlformats.org/officeDocument/2006/relationships" r:id="R9e67885afc4046f2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58" hidden="0" customWidth="1"/>
    <x:col min="4" max="4" width="58" hidden="0" customWidth="1"/>
  </x:cols>
  <x:sheetData>
    <x:row r="1">
      <x:c r="A1" s="119" t="str">
        <x:v>Purpose</x:v>
      </x:c>
      <x:c r="B1" s="119" t="str">
        <x:v>Recommended Categories</x:v>
      </x:c>
      <x:c r="C1" s="119" t="str">
        <x:v>What to Fill</x:v>
      </x:c>
      <x:c r="D1" s="119" t="str">
        <x:v>How to Read</x:v>
      </x:c>
    </x:row>
    <x:row r="2">
      <x:c r="A2" s="64" t="str">
        <x:v>Revenue contribution by service line</x:v>
      </x:c>
      <x:c r="B2" s="64" t="str">
        <x:v>Managed Service</x:v>
      </x:c>
      <x:c r="C2" s="64" t="str">
        <x:v>Revenue, COGS, Manpower Cost, Hours, HC, Tickets/Sites, SLA Breach</x:v>
      </x:c>
      <x:c r="D2" s="64" t="str">
        <x:v>High revenue share + healthy GM + low MCR = strong service line.</x:v>
      </x:c>
    </x:row>
    <x:row r="3">
      <x:c r="A3" s="64" t="str">
        <x:v>Revenue contribution by service line</x:v>
      </x:c>
      <x:c r="B3" s="64" t="str">
        <x:v>Network Deployment/Installation</x:v>
      </x:c>
      <x:c r="C3" s="64" t="str">
        <x:v>Project rollout revenue, direct cost, manpower cost, project hours, site count</x:v>
      </x:c>
      <x:c r="D3" s="64" t="str">
        <x:v>High revenue but low GM means pricing/COGS/scope creep needs review.</x:v>
      </x:c>
    </x:row>
    <x:row r="4">
      <x:c r="A4" s="64" t="str">
        <x:v>Revenue contribution by service line</x:v>
      </x:c>
      <x:c r="B4" s="64" t="str">
        <x:v>Network Maintenance</x:v>
      </x:c>
      <x:c r="C4" s="64" t="str">
        <x:v>Corrective/preventive maintenance revenue, manpower, tickets, SLA breach</x:v>
      </x:c>
      <x:c r="D4" s="64" t="str">
        <x:v>High tickets and SLA breach may signal capacity risk.</x:v>
      </x:c>
    </x:row>
    <x:row r="5">
      <x:c r="A5" s="64" t="str">
        <x:v>Revenue contribution by service line</x:v>
      </x:c>
      <x:c r="B5" s="64" t="str">
        <x:v>NOC/Monitoring</x:v>
      </x:c>
      <x:c r="C5" s="64" t="str">
        <x:v>Monitoring service revenue, NOC manpower, tickets, SLA breach</x:v>
      </x:c>
      <x:c r="D5" s="64" t="str">
        <x:v>Good for recurring revenue and managed operations productivity.</x:v>
      </x:c>
    </x:row>
    <x:row r="6">
      <x:c r="A6" s="64" t="str">
        <x:v>Revenue contribution by service line</x:v>
      </x:c>
      <x:c r="B6" s="64" t="str">
        <x:v>IT Infrastructure/System Integration</x:v>
      </x:c>
      <x:c r="C6" s="64" t="str">
        <x:v>Server, network, storage, implementation project data</x:v>
      </x:c>
      <x:c r="D6" s="64" t="str">
        <x:v>Watch COGS and subcontractor cost.</x:v>
      </x:c>
    </x:row>
    <x:row r="7">
      <x:c r="A7" s="64" t="str">
        <x:v>Revenue contribution by service line</x:v>
      </x:c>
      <x:c r="B7" s="64" t="str">
        <x:v>CCTV/IoT/Security</x:v>
      </x:c>
      <x:c r="C7" s="64" t="str">
        <x:v>Device/project revenue and installation manpower</x:v>
      </x:c>
      <x:c r="D7" s="64" t="str">
        <x:v>Useful for project-based margin and manpower productivity.</x:v>
      </x:c>
    </x:row>
    <x:row r="8">
      <x:c r="A8" s="64" t="str">
        <x:v>Revenue contribution by service line</x:v>
      </x:c>
      <x:c r="B8" s="64" t="str">
        <x:v>Cloud/Data Center</x:v>
      </x:c>
      <x:c r="C8" s="64" t="str">
        <x:v>Cloud/server/data center revenue and direct cost</x:v>
      </x:c>
      <x:c r="D8" s="64" t="str">
        <x:v>Usually higher margin if recurring support exists.</x:v>
      </x:c>
    </x:row>
    <x:row r="9">
      <x:c r="A9" s="64" t="str">
        <x:v>Revenue contribution by service line</x:v>
      </x:c>
      <x:c r="B9" s="64" t="str">
        <x:v>Professional Service</x:v>
      </x:c>
      <x:c r="C9" s="64" t="str">
        <x:v>Consulting/support revenue, hours, HC allocation</x:v>
      </x:c>
      <x:c r="D9" s="64" t="str">
        <x:v>Revenue per hour and revenue per HC are key.</x:v>
      </x:c>
    </x:row>
  </x:sheetData>
  <x:pageMargins left="0.7" right="0.7" top="0.75" bottom="0.75" header="0.3" footer="0.3"/>
</x:worksheet>
</file>